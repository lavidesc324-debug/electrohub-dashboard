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Escenarios_v4" sheetId="2" state="visible" r:id="rId2"/>
    <sheet name="Flujo_Base" sheetId="3" state="visible" r:id="rId3"/>
    <sheet name="Optimizacion_Flujo" sheetId="4" state="visible" r:id="rId4"/>
    <sheet name="Indicadores" sheetId="5" state="visible" r:id="rId5"/>
    <sheet name="Dashboard" sheetId="6" state="visible" r:id="rId6"/>
    <sheet name="KPIs_Escenarios" sheetId="7" state="visible" r:id="rId7"/>
    <sheet name="Resumen_Anual" sheetId="8" state="visible" r:id="rId8"/>
    <sheet name="Seguridad_H2" sheetId="9" state="visible" r:id="rId9"/>
    <sheet name="Instrucciones" sheetId="10" state="visible" r:id="rId10"/>
  </sheets>
  <definedNames>
    <definedName name="HORIZONTE">Parametros!$B$2</definedName>
    <definedName name="WACC">Parametros!$B$3</definedName>
    <definedName name="INFLACION">Parametros!$B$4</definedName>
    <definedName name="CAPEX">Parametros!$B$5</definedName>
    <definedName name="CAPEX0">Parametros!$B$6</definedName>
    <definedName name="CAPEX1">Parametros!$B$7</definedName>
    <definedName name="ANIO_REP">Parametros!$B$8</definedName>
    <definedName name="COSTO_REP">Parametros!$B$9</definedName>
    <definedName name="VALOR_TERRENO">Parametros!$B$10</definedName>
    <definedName name="ING_H2_1">Parametros!$B$11</definedName>
    <definedName name="ING_O2_1">Parametros!$B$12</definedName>
    <definedName name="ING_FV_1">Parametros!$B$13</definedName>
    <definedName name="ING_EV_1">Parametros!$B$14</definedName>
    <definedName name="G_H2">Parametros!$B$15</definedName>
    <definedName name="G_O2">Parametros!$B$16</definedName>
    <definedName name="G_FV">Parametros!$B$17</definedName>
    <definedName name="G_EV">Parametros!$B$18</definedName>
    <definedName name="OPEX_BASE_1">Parametros!$B$19</definedName>
    <definedName name="G_OPEX_BASE">Parametros!$B$20</definedName>
    <definedName name="OPEX_LOGH2_1">Parametros!$B$21</definedName>
    <definedName name="G_OPEX_LOGH2">Parametros!$B$22</definedName>
    <definedName name="OPEX_TRATO2_1">Parametros!$B$23</definedName>
    <definedName name="G_OPEX_TRATO2">Parametros!$B$24</definedName>
    <definedName name="ANIO_OP">Parametros!$B$25</definedName>
    <definedName name="RESERVA_PCT">Parametros!$B$26</definedName>
    <definedName name="TASA_CRED">Parametros!$B$27</definedName>
    <definedName name="ING_H2_BASE">Escenarios_v4!$B$2</definedName>
    <definedName name="ING_O2_BASE">Escenarios_v4!$B$3</definedName>
    <definedName name="ING_FV_BASE">Escenarios_v4!$B$4</definedName>
    <definedName name="ING_EV_BASE">Escenarios_v4!$B$5</definedName>
    <definedName name="OPEX_BASE_BASE">Escenarios_v4!$B$6</definedName>
    <definedName name="LOGH2_BASE">Escenarios_v4!$B$7</definedName>
    <definedName name="TRATO2_BASE">Escenarios_v4!$B$8</definedName>
    <definedName name="f_H2">Escenarios_v4!$K$2</definedName>
    <definedName name="f_O2">Escenarios_v4!$K$3</definedName>
    <definedName name="f_FV">Escenarios_v4!$K$4</definedName>
    <definedName name="f_EV">Escenarios_v4!$K$5</definedName>
    <definedName name="f_OPEX_BASE">Escenarios_v4!$K$6</definedName>
    <definedName name="f_LOGH2">Escenarios_v4!$K$7</definedName>
    <definedName name="f_TRATO2">Escenarios_v4!$K$8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[RED]&quot;$&quot;#,##0"/>
    <numFmt numFmtId="165" formatCode="0.0000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1" fillId="0" borderId="1" pivotButton="0" quotePrefix="0" xfId="0"/>
    <xf numFmtId="2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Flujo Neto Anual</a:t>
            </a:r>
          </a:p>
        </rich>
      </tx>
    </title>
    <plotArea>
      <lineChart>
        <grouping val="standard"/>
        <ser>
          <idx val="0"/>
          <order val="0"/>
          <tx>
            <strRef>
              <f>'Flujo_Base'!M1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'Flujo_Base'!$A$2:$A$17</f>
            </numRef>
          </cat>
          <val>
            <numRef>
              <f>'Flujo_Base'!$M$2:$M$17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Liquidez Final por Año</a:t>
            </a:r>
          </a:p>
        </rich>
      </tx>
    </title>
    <plotArea>
      <lineChart>
        <grouping val="standard"/>
        <ser>
          <idx val="0"/>
          <order val="0"/>
          <tx>
            <strRef>
              <f>'Optimizacion_Flujo'!I1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'Optimizacion_Flujo'!$A$2:$A$17</f>
            </numRef>
          </cat>
          <val>
            <numRef>
              <f>'Optimizacion_Flujo'!$I$2:$I$17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VAN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'Indicadores'!B1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'Indicadores'!$A$2:$A$17</f>
            </numRef>
          </cat>
          <val>
            <numRef>
              <f>'Indicadores'!$B$2:$B$17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OPEX Total</a:t>
            </a:r>
          </a:p>
        </rich>
      </tx>
    </title>
    <plotArea>
      <lineChart>
        <grouping val="standard"/>
        <ser>
          <idx val="0"/>
          <order val="0"/>
          <tx>
            <strRef>
              <f>'Flujo_Base'!J1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'Flujo_Base'!$A$2:$A$17</f>
            </numRef>
          </cat>
          <val>
            <numRef>
              <f>'Flujo_Base'!$J$2:$J$17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VAN por escenario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'KPIs_Escenarios'!B20</f>
            </strRef>
          </tx>
          <spPr>
            <a:ln>
              <a:prstDash val="solid"/>
            </a:ln>
          </spPr>
          <cat>
            <numRef>
              <f>'KPIs_Escenarios'!$A$21:$A$23</f>
            </numRef>
          </cat>
          <val>
            <numRef>
              <f>'KPIs_Escenarios'!$B$21:$B$23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Descripción</t>
        </is>
      </c>
      <c r="B1" s="1" t="inlineStr">
        <is>
          <t>Valor</t>
        </is>
      </c>
      <c r="C1" s="1" t="inlineStr">
        <is>
          <t>Unidad / Nota</t>
        </is>
      </c>
    </row>
    <row r="2">
      <c r="A2" t="inlineStr">
        <is>
          <t>Horizonte (años)</t>
        </is>
      </c>
      <c r="B2" s="2" t="n">
        <v>15</v>
      </c>
      <c r="C2" t="inlineStr">
        <is>
          <t>años</t>
        </is>
      </c>
    </row>
    <row r="3">
      <c r="A3" t="inlineStr">
        <is>
          <t>Tasa de descuento (WACC)</t>
        </is>
      </c>
      <c r="B3" s="3" t="n">
        <v>0.08</v>
      </c>
      <c r="C3" t="inlineStr">
        <is>
          <t>porcentaje</t>
        </is>
      </c>
    </row>
    <row r="4">
      <c r="A4" t="inlineStr">
        <is>
          <t>Inflación</t>
        </is>
      </c>
      <c r="B4" s="3" t="n">
        <v>0.04</v>
      </c>
      <c r="C4" t="inlineStr">
        <is>
          <t>porcentaje</t>
        </is>
      </c>
    </row>
    <row r="5">
      <c r="A5" t="inlineStr">
        <is>
          <t>CAPEX total inicial (MXN)</t>
        </is>
      </c>
      <c r="B5" s="4" t="n">
        <v>84300000</v>
      </c>
      <c r="C5" t="inlineStr">
        <is>
          <t>Incluye terreno (60% año 0 / 40% año 1)</t>
        </is>
      </c>
    </row>
    <row r="6">
      <c r="A6" t="inlineStr">
        <is>
          <t>Distribución CAPEX año 0</t>
        </is>
      </c>
      <c r="B6" s="3" t="n">
        <v>0.6</v>
      </c>
      <c r="C6" t="inlineStr">
        <is>
          <t>porcentaje</t>
        </is>
      </c>
    </row>
    <row r="7">
      <c r="A7" t="inlineStr">
        <is>
          <t>Distribución CAPEX año 1</t>
        </is>
      </c>
      <c r="B7" s="3" t="n">
        <v>0.4</v>
      </c>
      <c r="C7" t="inlineStr">
        <is>
          <t>porcentaje</t>
        </is>
      </c>
    </row>
    <row r="8">
      <c r="A8" t="inlineStr">
        <is>
          <t>Año reemplazo SAE</t>
        </is>
      </c>
      <c r="B8" s="2" t="n">
        <v>10</v>
      </c>
      <c r="C8" t="inlineStr">
        <is>
          <t>año</t>
        </is>
      </c>
    </row>
    <row r="9">
      <c r="A9" t="inlineStr">
        <is>
          <t>Costo reemplazo SAE (MXN)</t>
        </is>
      </c>
      <c r="B9" s="4" t="n">
        <v>4000000</v>
      </c>
      <c r="C9" t="inlineStr"/>
    </row>
    <row r="10">
      <c r="A10" t="inlineStr">
        <is>
          <t>Valor residual terreno (MXN, año N)</t>
        </is>
      </c>
      <c r="B10" s="4" t="n">
        <v>81000000</v>
      </c>
      <c r="C10" t="inlineStr">
        <is>
          <t>año final</t>
        </is>
      </c>
    </row>
    <row r="11">
      <c r="A11" t="inlineStr">
        <is>
          <t>Ingresos H2 Año operativo 1 (MXN)</t>
        </is>
      </c>
      <c r="B11" s="4">
        <f>ING_H2_BASE*f_H2</f>
        <v/>
      </c>
      <c r="C11" t="inlineStr">
        <is>
          <t>+2%/año</t>
        </is>
      </c>
    </row>
    <row r="12">
      <c r="A12" t="inlineStr">
        <is>
          <t>Ingresos O2 Año operativo 1 (MXN)</t>
        </is>
      </c>
      <c r="B12" s="4">
        <f>ING_O2_BASE*f_O2</f>
        <v/>
      </c>
      <c r="C12" t="inlineStr">
        <is>
          <t>+2%/año</t>
        </is>
      </c>
    </row>
    <row r="13">
      <c r="A13" t="inlineStr">
        <is>
          <t>Ingresos FV/red Año operativo 1 (MXN)</t>
        </is>
      </c>
      <c r="B13" s="4">
        <f>ING_FV_BASE*f_FV</f>
        <v/>
      </c>
      <c r="C13" t="inlineStr">
        <is>
          <t>-0.7%/año (FV=1.2 MW)</t>
        </is>
      </c>
    </row>
    <row r="14">
      <c r="A14" t="inlineStr">
        <is>
          <t>Ingresos carga EV Año operativo 1 (MXN)</t>
        </is>
      </c>
      <c r="B14" s="4">
        <f>ING_EV_BASE*f_EV</f>
        <v/>
      </c>
      <c r="C14" t="inlineStr">
        <is>
          <t>+2%/año</t>
        </is>
      </c>
    </row>
    <row r="15">
      <c r="A15" t="inlineStr">
        <is>
          <t>Crecimiento H2</t>
        </is>
      </c>
      <c r="B15" s="3" t="n">
        <v>0.02</v>
      </c>
      <c r="C15" t="inlineStr">
        <is>
          <t>porcentaje</t>
        </is>
      </c>
    </row>
    <row r="16">
      <c r="A16" t="inlineStr">
        <is>
          <t>Crecimiento O2</t>
        </is>
      </c>
      <c r="B16" s="3" t="n">
        <v>0.02</v>
      </c>
      <c r="C16" t="inlineStr">
        <is>
          <t>porcentaje</t>
        </is>
      </c>
    </row>
    <row r="17">
      <c r="A17" t="inlineStr">
        <is>
          <t>Crecimiento FV/red</t>
        </is>
      </c>
      <c r="B17" s="3" t="n">
        <v>-0.007</v>
      </c>
      <c r="C17" t="inlineStr">
        <is>
          <t>porcentaje</t>
        </is>
      </c>
    </row>
    <row r="18">
      <c r="A18" t="inlineStr">
        <is>
          <t>Crecimiento carga EV</t>
        </is>
      </c>
      <c r="B18" s="3" t="n">
        <v>0.02</v>
      </c>
      <c r="C18" t="inlineStr">
        <is>
          <t>porcentaje</t>
        </is>
      </c>
    </row>
    <row r="19">
      <c r="A19" t="inlineStr">
        <is>
          <t>OPEX Base Año operativo 1 (MXN)</t>
        </is>
      </c>
      <c r="B19" s="4">
        <f>OPEX_BASE_BASE*f_OPEX_BASE</f>
        <v/>
      </c>
      <c r="C19" t="inlineStr">
        <is>
          <t>+3%/año</t>
        </is>
      </c>
    </row>
    <row r="20">
      <c r="A20" t="inlineStr">
        <is>
          <t>Crecimiento OPEX Base</t>
        </is>
      </c>
      <c r="B20" s="3" t="n">
        <v>0.03</v>
      </c>
      <c r="C20" t="inlineStr">
        <is>
          <t>porcentaje</t>
        </is>
      </c>
    </row>
    <row r="21">
      <c r="A21" t="inlineStr">
        <is>
          <t>OPEX Logística H2 Año op 1 (MXN)</t>
        </is>
      </c>
      <c r="B21" s="4">
        <f>LOGH2_BASE*f_LOGH2</f>
        <v/>
      </c>
      <c r="C21" t="inlineStr">
        <is>
          <t>+3%/año</t>
        </is>
      </c>
    </row>
    <row r="22">
      <c r="A22" t="inlineStr">
        <is>
          <t>Crecimiento OPEX Logística H2</t>
        </is>
      </c>
      <c r="B22" s="3" t="n">
        <v>0.03</v>
      </c>
      <c r="C22" t="inlineStr">
        <is>
          <t>porcentaje</t>
        </is>
      </c>
    </row>
    <row r="23">
      <c r="A23" t="inlineStr">
        <is>
          <t>OPEX Tratamiento O2 Año op 1 (MXN)</t>
        </is>
      </c>
      <c r="B23" s="4">
        <f>TRATO2_BASE*f_TRATO2</f>
        <v/>
      </c>
      <c r="C23" t="inlineStr">
        <is>
          <t>+3%/año</t>
        </is>
      </c>
    </row>
    <row r="24">
      <c r="A24" t="inlineStr">
        <is>
          <t>Crecimiento OPEX Tratamiento O2</t>
        </is>
      </c>
      <c r="B24" s="3" t="n">
        <v>0.03</v>
      </c>
      <c r="C24" t="inlineStr">
        <is>
          <t>porcentaje</t>
        </is>
      </c>
    </row>
    <row r="25">
      <c r="A25" t="inlineStr">
        <is>
          <t>Año inicio de operación</t>
        </is>
      </c>
      <c r="B25" t="n">
        <v>2</v>
      </c>
      <c r="C25" t="inlineStr">
        <is>
          <t>año (0 y 1 = inversión)</t>
        </is>
      </c>
    </row>
    <row r="26">
      <c r="A26" t="inlineStr">
        <is>
          <t>Reserva liquidez (% OPEX Total)</t>
        </is>
      </c>
      <c r="B26" s="3" t="n">
        <v>0.2</v>
      </c>
      <c r="C26" t="inlineStr">
        <is>
          <t>optimización flujo de caja</t>
        </is>
      </c>
    </row>
    <row r="27">
      <c r="A27" t="inlineStr">
        <is>
          <t>Tasa interés línea de crédito</t>
        </is>
      </c>
      <c r="B27" s="3" t="n">
        <v>0.06</v>
      </c>
      <c r="C27" t="inlineStr">
        <is>
          <t>porcentaje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</cols>
  <sheetData>
    <row r="1">
      <c r="A1" s="5" t="inlineStr">
        <is>
          <t>Parámetro</t>
        </is>
      </c>
      <c r="B1" s="5" t="inlineStr">
        <is>
          <t>Valor Base (Año op 1)</t>
        </is>
      </c>
      <c r="C1" s="5" t="inlineStr">
        <is>
          <t>Unidad/Nota</t>
        </is>
      </c>
      <c r="E1" s="1" t="inlineStr">
        <is>
          <t>Selector de escenario</t>
        </is>
      </c>
      <c r="G1" s="1" t="inlineStr">
        <is>
          <t>Lista de escenarios</t>
        </is>
      </c>
      <c r="J1" s="1" t="inlineStr">
        <is>
          <t>Multiplicadores activos</t>
        </is>
      </c>
    </row>
    <row r="2">
      <c r="A2" t="inlineStr">
        <is>
          <t>ING_H2_BASE</t>
        </is>
      </c>
      <c r="B2" s="4" t="n">
        <v>12600000</v>
      </c>
      <c r="C2" t="inlineStr">
        <is>
          <t>MXN/año</t>
        </is>
      </c>
      <c r="E2" t="inlineStr">
        <is>
          <t>Base</t>
        </is>
      </c>
      <c r="G2" t="inlineStr">
        <is>
          <t>Optimista</t>
        </is>
      </c>
      <c r="J2" t="inlineStr">
        <is>
          <t>f_H2</t>
        </is>
      </c>
      <c r="K2">
        <f>INDEX($B$13:$H$15, MATCH($E$2,$A$13:$A$15,0), 2)</f>
        <v/>
      </c>
    </row>
    <row r="3">
      <c r="A3" t="inlineStr">
        <is>
          <t>ING_O2_BASE</t>
        </is>
      </c>
      <c r="B3" s="4" t="n">
        <v>6720000</v>
      </c>
      <c r="C3" t="inlineStr">
        <is>
          <t>MXN/año</t>
        </is>
      </c>
      <c r="G3" t="inlineStr">
        <is>
          <t>Base</t>
        </is>
      </c>
      <c r="J3" t="inlineStr">
        <is>
          <t>f_O2</t>
        </is>
      </c>
      <c r="K3">
        <f>INDEX($B$13:$H$15, MATCH($E$2,$A$13:$A$15,0), 3)</f>
        <v/>
      </c>
    </row>
    <row r="4">
      <c r="A4" t="inlineStr">
        <is>
          <t>ING_FV_BASE</t>
        </is>
      </c>
      <c r="B4" s="4" t="n">
        <v>2740000</v>
      </c>
      <c r="C4" t="inlineStr">
        <is>
          <t>MXN/año (FV=1.2 MW)</t>
        </is>
      </c>
      <c r="G4" t="inlineStr">
        <is>
          <t>Conservador</t>
        </is>
      </c>
      <c r="J4" t="inlineStr">
        <is>
          <t>f_FV</t>
        </is>
      </c>
      <c r="K4">
        <f>INDEX($B$13:$H$15, MATCH($E$2,$A$13:$A$15,0), 4)</f>
        <v/>
      </c>
    </row>
    <row r="5">
      <c r="A5" t="inlineStr">
        <is>
          <t>ING_EV_BASE</t>
        </is>
      </c>
      <c r="B5" s="4" t="n">
        <v>800000</v>
      </c>
      <c r="C5" t="inlineStr">
        <is>
          <t>MXN/año</t>
        </is>
      </c>
      <c r="J5" t="inlineStr">
        <is>
          <t>f_EV</t>
        </is>
      </c>
      <c r="K5">
        <f>INDEX($B$13:$H$15, MATCH($E$2,$A$13:$A$15,0), 5)</f>
        <v/>
      </c>
    </row>
    <row r="6">
      <c r="A6" t="inlineStr">
        <is>
          <t>OPEX_BASE_BASE</t>
        </is>
      </c>
      <c r="B6" s="4" t="n">
        <v>2600000</v>
      </c>
      <c r="C6" t="inlineStr">
        <is>
          <t>MXN/año</t>
        </is>
      </c>
      <c r="J6" t="inlineStr">
        <is>
          <t>f_OPEX_BASE</t>
        </is>
      </c>
      <c r="K6">
        <f>INDEX($B$13:$H$15, MATCH($E$2,$A$13:$A$15,0), 6)</f>
        <v/>
      </c>
    </row>
    <row r="7">
      <c r="A7" t="inlineStr">
        <is>
          <t>LOGH2_BASE</t>
        </is>
      </c>
      <c r="B7" s="4" t="n">
        <v>4900000</v>
      </c>
      <c r="C7" t="inlineStr">
        <is>
          <t>MXN/año</t>
        </is>
      </c>
      <c r="J7" t="inlineStr">
        <is>
          <t>f_LOGH2</t>
        </is>
      </c>
      <c r="K7">
        <f>INDEX($B$13:$H$15, MATCH($E$2,$A$13:$A$15,0), 7)</f>
        <v/>
      </c>
    </row>
    <row r="8">
      <c r="A8" t="inlineStr">
        <is>
          <t>TRATO2_BASE</t>
        </is>
      </c>
      <c r="B8" s="4" t="n">
        <v>2200000</v>
      </c>
      <c r="C8" t="inlineStr">
        <is>
          <t>MXN/año</t>
        </is>
      </c>
      <c r="J8" t="inlineStr">
        <is>
          <t>f_TRATO2</t>
        </is>
      </c>
      <c r="K8">
        <f>INDEX($B$13:$H$15, MATCH($E$2,$A$13:$A$15,0), 8)</f>
        <v/>
      </c>
    </row>
    <row r="11">
      <c r="A11" s="1" t="inlineStr">
        <is>
          <t>Multiplicadores por escenario</t>
        </is>
      </c>
    </row>
    <row r="12">
      <c r="A12" s="5" t="inlineStr">
        <is>
          <t>Escenario</t>
        </is>
      </c>
      <c r="B12" s="5" t="inlineStr">
        <is>
          <t>f_H2</t>
        </is>
      </c>
      <c r="C12" s="5" t="inlineStr">
        <is>
          <t>f_O2</t>
        </is>
      </c>
      <c r="D12" s="5" t="inlineStr">
        <is>
          <t>f_FV</t>
        </is>
      </c>
      <c r="E12" s="5" t="inlineStr">
        <is>
          <t>f_EV</t>
        </is>
      </c>
      <c r="F12" s="5" t="inlineStr">
        <is>
          <t>f_OPEX_BASE</t>
        </is>
      </c>
      <c r="G12" s="5" t="inlineStr">
        <is>
          <t>f_LOGH2</t>
        </is>
      </c>
      <c r="H12" s="5" t="inlineStr">
        <is>
          <t>f_TRATO2</t>
        </is>
      </c>
    </row>
    <row r="13">
      <c r="A13" t="inlineStr">
        <is>
          <t>Optimista</t>
        </is>
      </c>
      <c r="B13" s="6" t="n">
        <v>1.133333333333333</v>
      </c>
      <c r="C13" s="6" t="n">
        <v>1.2</v>
      </c>
      <c r="D13" s="6" t="n">
        <v>1.1</v>
      </c>
      <c r="E13" s="6" t="n">
        <v>1.1</v>
      </c>
      <c r="F13" s="6" t="n">
        <v>0.95</v>
      </c>
      <c r="G13" s="6" t="n">
        <v>0.85</v>
      </c>
      <c r="H13" s="6" t="n">
        <v>0.9</v>
      </c>
    </row>
    <row r="14">
      <c r="A14" t="inlineStr">
        <is>
          <t>Base</t>
        </is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  <c r="G14" s="6" t="n">
        <v>1</v>
      </c>
      <c r="H14" s="6" t="n">
        <v>1</v>
      </c>
    </row>
    <row r="15">
      <c r="A15" t="inlineStr">
        <is>
          <t>Conservador</t>
        </is>
      </c>
      <c r="B15" s="6" t="n">
        <v>0.8666666666666667</v>
      </c>
      <c r="C15" s="6" t="n">
        <v>0.8</v>
      </c>
      <c r="D15" s="6" t="n">
        <v>0.9</v>
      </c>
      <c r="E15" s="6" t="n">
        <v>0.9</v>
      </c>
      <c r="F15" s="6" t="n">
        <v>1.05</v>
      </c>
      <c r="G15" s="6" t="n">
        <v>1.15</v>
      </c>
      <c r="H15" s="6" t="n">
        <v>1.1</v>
      </c>
    </row>
  </sheetData>
  <dataValidations count="1">
    <dataValidation sqref="E2" showDropDown="0" showInputMessage="0" showErrorMessage="0" allowBlank="0" type="list">
      <formula1>=$G$2:$G$4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16" customWidth="1" min="12" max="12"/>
    <col width="18" customWidth="1" min="13" max="13"/>
    <col width="14" customWidth="1" min="14" max="14"/>
    <col width="18" customWidth="1" min="15" max="15"/>
    <col width="18" customWidth="1" min="16" max="16"/>
  </cols>
  <sheetData>
    <row r="1">
      <c r="A1" s="7" t="inlineStr">
        <is>
          <t>Año</t>
        </is>
      </c>
      <c r="B1" s="7" t="inlineStr">
        <is>
          <t>Ingresos H2</t>
        </is>
      </c>
      <c r="C1" s="7" t="inlineStr">
        <is>
          <t>Ingresos O2</t>
        </is>
      </c>
      <c r="D1" s="7" t="inlineStr">
        <is>
          <t>Ingresos FV/red</t>
        </is>
      </c>
      <c r="E1" s="7" t="inlineStr">
        <is>
          <t>Ingresos EV</t>
        </is>
      </c>
      <c r="F1" s="7" t="inlineStr">
        <is>
          <t>Ingresos totales</t>
        </is>
      </c>
      <c r="G1" s="7" t="inlineStr">
        <is>
          <t>OPEX Base</t>
        </is>
      </c>
      <c r="H1" s="7" t="inlineStr">
        <is>
          <t>OPEX Log H2</t>
        </is>
      </c>
      <c r="I1" s="7" t="inlineStr">
        <is>
          <t>OPEX Trat O2</t>
        </is>
      </c>
      <c r="J1" s="7" t="inlineStr">
        <is>
          <t>OPEX Total</t>
        </is>
      </c>
      <c r="K1" s="7" t="inlineStr">
        <is>
          <t>CAPEX/Reemplazos</t>
        </is>
      </c>
      <c r="L1" s="7" t="inlineStr">
        <is>
          <t>Valor residual</t>
        </is>
      </c>
      <c r="M1" s="7" t="inlineStr">
        <is>
          <t>Flujo neto</t>
        </is>
      </c>
      <c r="N1" s="7" t="inlineStr">
        <is>
          <t>Factor descuento</t>
        </is>
      </c>
      <c r="O1" s="7" t="inlineStr">
        <is>
          <t>Flujo descontado</t>
        </is>
      </c>
      <c r="P1" s="7" t="inlineStr">
        <is>
          <t>VAN acumulado</t>
        </is>
      </c>
    </row>
    <row r="2">
      <c r="A2" t="n">
        <v>0</v>
      </c>
      <c r="B2" s="4">
        <f>0</f>
        <v/>
      </c>
      <c r="C2" s="4">
        <f>0</f>
        <v/>
      </c>
      <c r="D2" s="4">
        <f>0</f>
        <v/>
      </c>
      <c r="E2" s="4">
        <f>0</f>
        <v/>
      </c>
      <c r="F2" s="4">
        <f>0</f>
        <v/>
      </c>
      <c r="G2" s="4">
        <f>0</f>
        <v/>
      </c>
      <c r="H2" s="4">
        <f>0</f>
        <v/>
      </c>
      <c r="I2" s="4">
        <f>0</f>
        <v/>
      </c>
      <c r="J2" s="4">
        <f>0</f>
        <v/>
      </c>
      <c r="K2" s="4">
        <f>CAPEX*CAPEX0</f>
        <v/>
      </c>
      <c r="L2" s="4">
        <f>0</f>
        <v/>
      </c>
      <c r="M2" s="4">
        <f>F2-J2-K2+L2</f>
        <v/>
      </c>
      <c r="N2" s="8">
        <f>(1+WACC)^A2</f>
        <v/>
      </c>
      <c r="O2" s="4">
        <f>M2/N2</f>
        <v/>
      </c>
      <c r="P2" s="4">
        <f>O2</f>
        <v/>
      </c>
    </row>
    <row r="3">
      <c r="A3" t="n">
        <v>1</v>
      </c>
      <c r="B3" s="4">
        <f>IF(A3&lt;ANIO_OP,0,ING_H2_1*(1+G_H2)^(A3-ANIO_OP))</f>
        <v/>
      </c>
      <c r="C3" s="4">
        <f>IF(A3&lt;ANIO_OP,0,ING_O2_1*(1+G_O2)^(A3-ANIO_OP))</f>
        <v/>
      </c>
      <c r="D3" s="4">
        <f>IF(A3&lt;ANIO_OP,0,ING_FV_1*(1+G_FV)^(A3-ANIO_OP))</f>
        <v/>
      </c>
      <c r="E3" s="4">
        <f>IF(A3&lt;ANIO_OP,0,ING_EV_1*(1+G_EV)^(A3-ANIO_OP))</f>
        <v/>
      </c>
      <c r="F3" s="4">
        <f>SUM(B3:E3)</f>
        <v/>
      </c>
      <c r="G3" s="4">
        <f>IF(A3&lt;ANIO_OP,0,OPEX_BASE_1*(1+G_OPEX_BASE)^(A3-ANIO_OP))</f>
        <v/>
      </c>
      <c r="H3" s="4">
        <f>IF(A3&lt;ANIO_OP,0,OPEX_LOGH2_1*(1+G_OPEX_LOGH2)^(A3-ANIO_OP))</f>
        <v/>
      </c>
      <c r="I3" s="4">
        <f>IF(A3&lt;ANIO_OP,0,OPEX_TRATO2_1*(1+G_OPEX_TRATO2)^(A3-ANIO_OP))</f>
        <v/>
      </c>
      <c r="J3" s="4">
        <f>G3+H3+I3</f>
        <v/>
      </c>
      <c r="K3" s="4">
        <f>IF(A3=1,CAPEX*CAPEX1,IF(A3=ANIO_REP,COSTO_REP,0))</f>
        <v/>
      </c>
      <c r="L3" s="4">
        <f>IF(A3=HORIZONTE,VALOR_TERRENO,0)</f>
        <v/>
      </c>
      <c r="M3" s="4">
        <f>F3-J3-K3+L3</f>
        <v/>
      </c>
      <c r="N3" s="8">
        <f>(1+WACC)^A3</f>
        <v/>
      </c>
      <c r="O3" s="4">
        <f>M3/N3</f>
        <v/>
      </c>
      <c r="P3" s="4">
        <f>P2+O3</f>
        <v/>
      </c>
    </row>
    <row r="4">
      <c r="A4" t="n">
        <v>2</v>
      </c>
      <c r="B4" s="4">
        <f>IF(A4&lt;ANIO_OP,0,ING_H2_1*(1+G_H2)^(A4-ANIO_OP))</f>
        <v/>
      </c>
      <c r="C4" s="4">
        <f>IF(A4&lt;ANIO_OP,0,ING_O2_1*(1+G_O2)^(A4-ANIO_OP))</f>
        <v/>
      </c>
      <c r="D4" s="4">
        <f>IF(A4&lt;ANIO_OP,0,ING_FV_1*(1+G_FV)^(A4-ANIO_OP))</f>
        <v/>
      </c>
      <c r="E4" s="4">
        <f>IF(A4&lt;ANIO_OP,0,ING_EV_1*(1+G_EV)^(A4-ANIO_OP))</f>
        <v/>
      </c>
      <c r="F4" s="4">
        <f>SUM(B4:E4)</f>
        <v/>
      </c>
      <c r="G4" s="4">
        <f>IF(A4&lt;ANIO_OP,0,OPEX_BASE_1*(1+G_OPEX_BASE)^(A4-ANIO_OP))</f>
        <v/>
      </c>
      <c r="H4" s="4">
        <f>IF(A4&lt;ANIO_OP,0,OPEX_LOGH2_1*(1+G_OPEX_LOGH2)^(A4-ANIO_OP))</f>
        <v/>
      </c>
      <c r="I4" s="4">
        <f>IF(A4&lt;ANIO_OP,0,OPEX_TRATO2_1*(1+G_OPEX_TRATO2)^(A4-ANIO_OP))</f>
        <v/>
      </c>
      <c r="J4" s="4">
        <f>G4+H4+I4</f>
        <v/>
      </c>
      <c r="K4" s="4">
        <f>IF(A4=1,CAPEX*CAPEX1,IF(A4=ANIO_REP,COSTO_REP,0))</f>
        <v/>
      </c>
      <c r="L4" s="4">
        <f>IF(A4=HORIZONTE,VALOR_TERRENO,0)</f>
        <v/>
      </c>
      <c r="M4" s="4">
        <f>F4-J4-K4+L4</f>
        <v/>
      </c>
      <c r="N4" s="8">
        <f>(1+WACC)^A4</f>
        <v/>
      </c>
      <c r="O4" s="4">
        <f>M4/N4</f>
        <v/>
      </c>
      <c r="P4" s="4">
        <f>P3+O4</f>
        <v/>
      </c>
    </row>
    <row r="5">
      <c r="A5" t="n">
        <v>3</v>
      </c>
      <c r="B5" s="4">
        <f>IF(A5&lt;ANIO_OP,0,ING_H2_1*(1+G_H2)^(A5-ANIO_OP))</f>
        <v/>
      </c>
      <c r="C5" s="4">
        <f>IF(A5&lt;ANIO_OP,0,ING_O2_1*(1+G_O2)^(A5-ANIO_OP))</f>
        <v/>
      </c>
      <c r="D5" s="4">
        <f>IF(A5&lt;ANIO_OP,0,ING_FV_1*(1+G_FV)^(A5-ANIO_OP))</f>
        <v/>
      </c>
      <c r="E5" s="4">
        <f>IF(A5&lt;ANIO_OP,0,ING_EV_1*(1+G_EV)^(A5-ANIO_OP))</f>
        <v/>
      </c>
      <c r="F5" s="4">
        <f>SUM(B5:E5)</f>
        <v/>
      </c>
      <c r="G5" s="4">
        <f>IF(A5&lt;ANIO_OP,0,OPEX_BASE_1*(1+G_OPEX_BASE)^(A5-ANIO_OP))</f>
        <v/>
      </c>
      <c r="H5" s="4">
        <f>IF(A5&lt;ANIO_OP,0,OPEX_LOGH2_1*(1+G_OPEX_LOGH2)^(A5-ANIO_OP))</f>
        <v/>
      </c>
      <c r="I5" s="4">
        <f>IF(A5&lt;ANIO_OP,0,OPEX_TRATO2_1*(1+G_OPEX_TRATO2)^(A5-ANIO_OP))</f>
        <v/>
      </c>
      <c r="J5" s="4">
        <f>G5+H5+I5</f>
        <v/>
      </c>
      <c r="K5" s="4">
        <f>IF(A5=1,CAPEX*CAPEX1,IF(A5=ANIO_REP,COSTO_REP,0))</f>
        <v/>
      </c>
      <c r="L5" s="4">
        <f>IF(A5=HORIZONTE,VALOR_TERRENO,0)</f>
        <v/>
      </c>
      <c r="M5" s="4">
        <f>F5-J5-K5+L5</f>
        <v/>
      </c>
      <c r="N5" s="8">
        <f>(1+WACC)^A5</f>
        <v/>
      </c>
      <c r="O5" s="4">
        <f>M5/N5</f>
        <v/>
      </c>
      <c r="P5" s="4">
        <f>P4+O5</f>
        <v/>
      </c>
    </row>
    <row r="6">
      <c r="A6" t="n">
        <v>4</v>
      </c>
      <c r="B6" s="4">
        <f>IF(A6&lt;ANIO_OP,0,ING_H2_1*(1+G_H2)^(A6-ANIO_OP))</f>
        <v/>
      </c>
      <c r="C6" s="4">
        <f>IF(A6&lt;ANIO_OP,0,ING_O2_1*(1+G_O2)^(A6-ANIO_OP))</f>
        <v/>
      </c>
      <c r="D6" s="4">
        <f>IF(A6&lt;ANIO_OP,0,ING_FV_1*(1+G_FV)^(A6-ANIO_OP))</f>
        <v/>
      </c>
      <c r="E6" s="4">
        <f>IF(A6&lt;ANIO_OP,0,ING_EV_1*(1+G_EV)^(A6-ANIO_OP))</f>
        <v/>
      </c>
      <c r="F6" s="4">
        <f>SUM(B6:E6)</f>
        <v/>
      </c>
      <c r="G6" s="4">
        <f>IF(A6&lt;ANIO_OP,0,OPEX_BASE_1*(1+G_OPEX_BASE)^(A6-ANIO_OP))</f>
        <v/>
      </c>
      <c r="H6" s="4">
        <f>IF(A6&lt;ANIO_OP,0,OPEX_LOGH2_1*(1+G_OPEX_LOGH2)^(A6-ANIO_OP))</f>
        <v/>
      </c>
      <c r="I6" s="4">
        <f>IF(A6&lt;ANIO_OP,0,OPEX_TRATO2_1*(1+G_OPEX_TRATO2)^(A6-ANIO_OP))</f>
        <v/>
      </c>
      <c r="J6" s="4">
        <f>G6+H6+I6</f>
        <v/>
      </c>
      <c r="K6" s="4">
        <f>IF(A6=1,CAPEX*CAPEX1,IF(A6=ANIO_REP,COSTO_REP,0))</f>
        <v/>
      </c>
      <c r="L6" s="4">
        <f>IF(A6=HORIZONTE,VALOR_TERRENO,0)</f>
        <v/>
      </c>
      <c r="M6" s="4">
        <f>F6-J6-K6+L6</f>
        <v/>
      </c>
      <c r="N6" s="8">
        <f>(1+WACC)^A6</f>
        <v/>
      </c>
      <c r="O6" s="4">
        <f>M6/N6</f>
        <v/>
      </c>
      <c r="P6" s="4">
        <f>P5+O6</f>
        <v/>
      </c>
    </row>
    <row r="7">
      <c r="A7" t="n">
        <v>5</v>
      </c>
      <c r="B7" s="4">
        <f>IF(A7&lt;ANIO_OP,0,ING_H2_1*(1+G_H2)^(A7-ANIO_OP))</f>
        <v/>
      </c>
      <c r="C7" s="4">
        <f>IF(A7&lt;ANIO_OP,0,ING_O2_1*(1+G_O2)^(A7-ANIO_OP))</f>
        <v/>
      </c>
      <c r="D7" s="4">
        <f>IF(A7&lt;ANIO_OP,0,ING_FV_1*(1+G_FV)^(A7-ANIO_OP))</f>
        <v/>
      </c>
      <c r="E7" s="4">
        <f>IF(A7&lt;ANIO_OP,0,ING_EV_1*(1+G_EV)^(A7-ANIO_OP))</f>
        <v/>
      </c>
      <c r="F7" s="4">
        <f>SUM(B7:E7)</f>
        <v/>
      </c>
      <c r="G7" s="4">
        <f>IF(A7&lt;ANIO_OP,0,OPEX_BASE_1*(1+G_OPEX_BASE)^(A7-ANIO_OP))</f>
        <v/>
      </c>
      <c r="H7" s="4">
        <f>IF(A7&lt;ANIO_OP,0,OPEX_LOGH2_1*(1+G_OPEX_LOGH2)^(A7-ANIO_OP))</f>
        <v/>
      </c>
      <c r="I7" s="4">
        <f>IF(A7&lt;ANIO_OP,0,OPEX_TRATO2_1*(1+G_OPEX_TRATO2)^(A7-ANIO_OP))</f>
        <v/>
      </c>
      <c r="J7" s="4">
        <f>G7+H7+I7</f>
        <v/>
      </c>
      <c r="K7" s="4">
        <f>IF(A7=1,CAPEX*CAPEX1,IF(A7=ANIO_REP,COSTO_REP,0))</f>
        <v/>
      </c>
      <c r="L7" s="4">
        <f>IF(A7=HORIZONTE,VALOR_TERRENO,0)</f>
        <v/>
      </c>
      <c r="M7" s="4">
        <f>F7-J7-K7+L7</f>
        <v/>
      </c>
      <c r="N7" s="8">
        <f>(1+WACC)^A7</f>
        <v/>
      </c>
      <c r="O7" s="4">
        <f>M7/N7</f>
        <v/>
      </c>
      <c r="P7" s="4">
        <f>P6+O7</f>
        <v/>
      </c>
    </row>
    <row r="8">
      <c r="A8" t="n">
        <v>6</v>
      </c>
      <c r="B8" s="4">
        <f>IF(A8&lt;ANIO_OP,0,ING_H2_1*(1+G_H2)^(A8-ANIO_OP))</f>
        <v/>
      </c>
      <c r="C8" s="4">
        <f>IF(A8&lt;ANIO_OP,0,ING_O2_1*(1+G_O2)^(A8-ANIO_OP))</f>
        <v/>
      </c>
      <c r="D8" s="4">
        <f>IF(A8&lt;ANIO_OP,0,ING_FV_1*(1+G_FV)^(A8-ANIO_OP))</f>
        <v/>
      </c>
      <c r="E8" s="4">
        <f>IF(A8&lt;ANIO_OP,0,ING_EV_1*(1+G_EV)^(A8-ANIO_OP))</f>
        <v/>
      </c>
      <c r="F8" s="4">
        <f>SUM(B8:E8)</f>
        <v/>
      </c>
      <c r="G8" s="4">
        <f>IF(A8&lt;ANIO_OP,0,OPEX_BASE_1*(1+G_OPEX_BASE)^(A8-ANIO_OP))</f>
        <v/>
      </c>
      <c r="H8" s="4">
        <f>IF(A8&lt;ANIO_OP,0,OPEX_LOGH2_1*(1+G_OPEX_LOGH2)^(A8-ANIO_OP))</f>
        <v/>
      </c>
      <c r="I8" s="4">
        <f>IF(A8&lt;ANIO_OP,0,OPEX_TRATO2_1*(1+G_OPEX_TRATO2)^(A8-ANIO_OP))</f>
        <v/>
      </c>
      <c r="J8" s="4">
        <f>G8+H8+I8</f>
        <v/>
      </c>
      <c r="K8" s="4">
        <f>IF(A8=1,CAPEX*CAPEX1,IF(A8=ANIO_REP,COSTO_REP,0))</f>
        <v/>
      </c>
      <c r="L8" s="4">
        <f>IF(A8=HORIZONTE,VALOR_TERRENO,0)</f>
        <v/>
      </c>
      <c r="M8" s="4">
        <f>F8-J8-K8+L8</f>
        <v/>
      </c>
      <c r="N8" s="8">
        <f>(1+WACC)^A8</f>
        <v/>
      </c>
      <c r="O8" s="4">
        <f>M8/N8</f>
        <v/>
      </c>
      <c r="P8" s="4">
        <f>P7+O8</f>
        <v/>
      </c>
    </row>
    <row r="9">
      <c r="A9" t="n">
        <v>7</v>
      </c>
      <c r="B9" s="4">
        <f>IF(A9&lt;ANIO_OP,0,ING_H2_1*(1+G_H2)^(A9-ANIO_OP))</f>
        <v/>
      </c>
      <c r="C9" s="4">
        <f>IF(A9&lt;ANIO_OP,0,ING_O2_1*(1+G_O2)^(A9-ANIO_OP))</f>
        <v/>
      </c>
      <c r="D9" s="4">
        <f>IF(A9&lt;ANIO_OP,0,ING_FV_1*(1+G_FV)^(A9-ANIO_OP))</f>
        <v/>
      </c>
      <c r="E9" s="4">
        <f>IF(A9&lt;ANIO_OP,0,ING_EV_1*(1+G_EV)^(A9-ANIO_OP))</f>
        <v/>
      </c>
      <c r="F9" s="4">
        <f>SUM(B9:E9)</f>
        <v/>
      </c>
      <c r="G9" s="4">
        <f>IF(A9&lt;ANIO_OP,0,OPEX_BASE_1*(1+G_OPEX_BASE)^(A9-ANIO_OP))</f>
        <v/>
      </c>
      <c r="H9" s="4">
        <f>IF(A9&lt;ANIO_OP,0,OPEX_LOGH2_1*(1+G_OPEX_LOGH2)^(A9-ANIO_OP))</f>
        <v/>
      </c>
      <c r="I9" s="4">
        <f>IF(A9&lt;ANIO_OP,0,OPEX_TRATO2_1*(1+G_OPEX_TRATO2)^(A9-ANIO_OP))</f>
        <v/>
      </c>
      <c r="J9" s="4">
        <f>G9+H9+I9</f>
        <v/>
      </c>
      <c r="K9" s="4">
        <f>IF(A9=1,CAPEX*CAPEX1,IF(A9=ANIO_REP,COSTO_REP,0))</f>
        <v/>
      </c>
      <c r="L9" s="4">
        <f>IF(A9=HORIZONTE,VALOR_TERRENO,0)</f>
        <v/>
      </c>
      <c r="M9" s="4">
        <f>F9-J9-K9+L9</f>
        <v/>
      </c>
      <c r="N9" s="8">
        <f>(1+WACC)^A9</f>
        <v/>
      </c>
      <c r="O9" s="4">
        <f>M9/N9</f>
        <v/>
      </c>
      <c r="P9" s="4">
        <f>P8+O9</f>
        <v/>
      </c>
    </row>
    <row r="10">
      <c r="A10" t="n">
        <v>8</v>
      </c>
      <c r="B10" s="4">
        <f>IF(A10&lt;ANIO_OP,0,ING_H2_1*(1+G_H2)^(A10-ANIO_OP))</f>
        <v/>
      </c>
      <c r="C10" s="4">
        <f>IF(A10&lt;ANIO_OP,0,ING_O2_1*(1+G_O2)^(A10-ANIO_OP))</f>
        <v/>
      </c>
      <c r="D10" s="4">
        <f>IF(A10&lt;ANIO_OP,0,ING_FV_1*(1+G_FV)^(A10-ANIO_OP))</f>
        <v/>
      </c>
      <c r="E10" s="4">
        <f>IF(A10&lt;ANIO_OP,0,ING_EV_1*(1+G_EV)^(A10-ANIO_OP))</f>
        <v/>
      </c>
      <c r="F10" s="4">
        <f>SUM(B10:E10)</f>
        <v/>
      </c>
      <c r="G10" s="4">
        <f>IF(A10&lt;ANIO_OP,0,OPEX_BASE_1*(1+G_OPEX_BASE)^(A10-ANIO_OP))</f>
        <v/>
      </c>
      <c r="H10" s="4">
        <f>IF(A10&lt;ANIO_OP,0,OPEX_LOGH2_1*(1+G_OPEX_LOGH2)^(A10-ANIO_OP))</f>
        <v/>
      </c>
      <c r="I10" s="4">
        <f>IF(A10&lt;ANIO_OP,0,OPEX_TRATO2_1*(1+G_OPEX_TRATO2)^(A10-ANIO_OP))</f>
        <v/>
      </c>
      <c r="J10" s="4">
        <f>G10+H10+I10</f>
        <v/>
      </c>
      <c r="K10" s="4">
        <f>IF(A10=1,CAPEX*CAPEX1,IF(A10=ANIO_REP,COSTO_REP,0))</f>
        <v/>
      </c>
      <c r="L10" s="4">
        <f>IF(A10=HORIZONTE,VALOR_TERRENO,0)</f>
        <v/>
      </c>
      <c r="M10" s="4">
        <f>F10-J10-K10+L10</f>
        <v/>
      </c>
      <c r="N10" s="8">
        <f>(1+WACC)^A10</f>
        <v/>
      </c>
      <c r="O10" s="4">
        <f>M10/N10</f>
        <v/>
      </c>
      <c r="P10" s="4">
        <f>P9+O10</f>
        <v/>
      </c>
    </row>
    <row r="11">
      <c r="A11" t="n">
        <v>9</v>
      </c>
      <c r="B11" s="4">
        <f>IF(A11&lt;ANIO_OP,0,ING_H2_1*(1+G_H2)^(A11-ANIO_OP))</f>
        <v/>
      </c>
      <c r="C11" s="4">
        <f>IF(A11&lt;ANIO_OP,0,ING_O2_1*(1+G_O2)^(A11-ANIO_OP))</f>
        <v/>
      </c>
      <c r="D11" s="4">
        <f>IF(A11&lt;ANIO_OP,0,ING_FV_1*(1+G_FV)^(A11-ANIO_OP))</f>
        <v/>
      </c>
      <c r="E11" s="4">
        <f>IF(A11&lt;ANIO_OP,0,ING_EV_1*(1+G_EV)^(A11-ANIO_OP))</f>
        <v/>
      </c>
      <c r="F11" s="4">
        <f>SUM(B11:E11)</f>
        <v/>
      </c>
      <c r="G11" s="4">
        <f>IF(A11&lt;ANIO_OP,0,OPEX_BASE_1*(1+G_OPEX_BASE)^(A11-ANIO_OP))</f>
        <v/>
      </c>
      <c r="H11" s="4">
        <f>IF(A11&lt;ANIO_OP,0,OPEX_LOGH2_1*(1+G_OPEX_LOGH2)^(A11-ANIO_OP))</f>
        <v/>
      </c>
      <c r="I11" s="4">
        <f>IF(A11&lt;ANIO_OP,0,OPEX_TRATO2_1*(1+G_OPEX_TRATO2)^(A11-ANIO_OP))</f>
        <v/>
      </c>
      <c r="J11" s="4">
        <f>G11+H11+I11</f>
        <v/>
      </c>
      <c r="K11" s="4">
        <f>IF(A11=1,CAPEX*CAPEX1,IF(A11=ANIO_REP,COSTO_REP,0))</f>
        <v/>
      </c>
      <c r="L11" s="4">
        <f>IF(A11=HORIZONTE,VALOR_TERRENO,0)</f>
        <v/>
      </c>
      <c r="M11" s="4">
        <f>F11-J11-K11+L11</f>
        <v/>
      </c>
      <c r="N11" s="8">
        <f>(1+WACC)^A11</f>
        <v/>
      </c>
      <c r="O11" s="4">
        <f>M11/N11</f>
        <v/>
      </c>
      <c r="P11" s="4">
        <f>P10+O11</f>
        <v/>
      </c>
    </row>
    <row r="12">
      <c r="A12" t="n">
        <v>10</v>
      </c>
      <c r="B12" s="4">
        <f>IF(A12&lt;ANIO_OP,0,ING_H2_1*(1+G_H2)^(A12-ANIO_OP))</f>
        <v/>
      </c>
      <c r="C12" s="4">
        <f>IF(A12&lt;ANIO_OP,0,ING_O2_1*(1+G_O2)^(A12-ANIO_OP))</f>
        <v/>
      </c>
      <c r="D12" s="4">
        <f>IF(A12&lt;ANIO_OP,0,ING_FV_1*(1+G_FV)^(A12-ANIO_OP))</f>
        <v/>
      </c>
      <c r="E12" s="4">
        <f>IF(A12&lt;ANIO_OP,0,ING_EV_1*(1+G_EV)^(A12-ANIO_OP))</f>
        <v/>
      </c>
      <c r="F12" s="4">
        <f>SUM(B12:E12)</f>
        <v/>
      </c>
      <c r="G12" s="4">
        <f>IF(A12&lt;ANIO_OP,0,OPEX_BASE_1*(1+G_OPEX_BASE)^(A12-ANIO_OP))</f>
        <v/>
      </c>
      <c r="H12" s="4">
        <f>IF(A12&lt;ANIO_OP,0,OPEX_LOGH2_1*(1+G_OPEX_LOGH2)^(A12-ANIO_OP))</f>
        <v/>
      </c>
      <c r="I12" s="4">
        <f>IF(A12&lt;ANIO_OP,0,OPEX_TRATO2_1*(1+G_OPEX_TRATO2)^(A12-ANIO_OP))</f>
        <v/>
      </c>
      <c r="J12" s="4">
        <f>G12+H12+I12</f>
        <v/>
      </c>
      <c r="K12" s="4">
        <f>IF(A12=1,CAPEX*CAPEX1,IF(A12=ANIO_REP,COSTO_REP,0))</f>
        <v/>
      </c>
      <c r="L12" s="4">
        <f>IF(A12=HORIZONTE,VALOR_TERRENO,0)</f>
        <v/>
      </c>
      <c r="M12" s="4">
        <f>F12-J12-K12+L12</f>
        <v/>
      </c>
      <c r="N12" s="8">
        <f>(1+WACC)^A12</f>
        <v/>
      </c>
      <c r="O12" s="4">
        <f>M12/N12</f>
        <v/>
      </c>
      <c r="P12" s="4">
        <f>P11+O12</f>
        <v/>
      </c>
    </row>
    <row r="13">
      <c r="A13" t="n">
        <v>11</v>
      </c>
      <c r="B13" s="4">
        <f>IF(A13&lt;ANIO_OP,0,ING_H2_1*(1+G_H2)^(A13-ANIO_OP))</f>
        <v/>
      </c>
      <c r="C13" s="4">
        <f>IF(A13&lt;ANIO_OP,0,ING_O2_1*(1+G_O2)^(A13-ANIO_OP))</f>
        <v/>
      </c>
      <c r="D13" s="4">
        <f>IF(A13&lt;ANIO_OP,0,ING_FV_1*(1+G_FV)^(A13-ANIO_OP))</f>
        <v/>
      </c>
      <c r="E13" s="4">
        <f>IF(A13&lt;ANIO_OP,0,ING_EV_1*(1+G_EV)^(A13-ANIO_OP))</f>
        <v/>
      </c>
      <c r="F13" s="4">
        <f>SUM(B13:E13)</f>
        <v/>
      </c>
      <c r="G13" s="4">
        <f>IF(A13&lt;ANIO_OP,0,OPEX_BASE_1*(1+G_OPEX_BASE)^(A13-ANIO_OP))</f>
        <v/>
      </c>
      <c r="H13" s="4">
        <f>IF(A13&lt;ANIO_OP,0,OPEX_LOGH2_1*(1+G_OPEX_LOGH2)^(A13-ANIO_OP))</f>
        <v/>
      </c>
      <c r="I13" s="4">
        <f>IF(A13&lt;ANIO_OP,0,OPEX_TRATO2_1*(1+G_OPEX_TRATO2)^(A13-ANIO_OP))</f>
        <v/>
      </c>
      <c r="J13" s="4">
        <f>G13+H13+I13</f>
        <v/>
      </c>
      <c r="K13" s="4">
        <f>IF(A13=1,CAPEX*CAPEX1,IF(A13=ANIO_REP,COSTO_REP,0))</f>
        <v/>
      </c>
      <c r="L13" s="4">
        <f>IF(A13=HORIZONTE,VALOR_TERRENO,0)</f>
        <v/>
      </c>
      <c r="M13" s="4">
        <f>F13-J13-K13+L13</f>
        <v/>
      </c>
      <c r="N13" s="8">
        <f>(1+WACC)^A13</f>
        <v/>
      </c>
      <c r="O13" s="4">
        <f>M13/N13</f>
        <v/>
      </c>
      <c r="P13" s="4">
        <f>P12+O13</f>
        <v/>
      </c>
    </row>
    <row r="14">
      <c r="A14" t="n">
        <v>12</v>
      </c>
      <c r="B14" s="4">
        <f>IF(A14&lt;ANIO_OP,0,ING_H2_1*(1+G_H2)^(A14-ANIO_OP))</f>
        <v/>
      </c>
      <c r="C14" s="4">
        <f>IF(A14&lt;ANIO_OP,0,ING_O2_1*(1+G_O2)^(A14-ANIO_OP))</f>
        <v/>
      </c>
      <c r="D14" s="4">
        <f>IF(A14&lt;ANIO_OP,0,ING_FV_1*(1+G_FV)^(A14-ANIO_OP))</f>
        <v/>
      </c>
      <c r="E14" s="4">
        <f>IF(A14&lt;ANIO_OP,0,ING_EV_1*(1+G_EV)^(A14-ANIO_OP))</f>
        <v/>
      </c>
      <c r="F14" s="4">
        <f>SUM(B14:E14)</f>
        <v/>
      </c>
      <c r="G14" s="4">
        <f>IF(A14&lt;ANIO_OP,0,OPEX_BASE_1*(1+G_OPEX_BASE)^(A14-ANIO_OP))</f>
        <v/>
      </c>
      <c r="H14" s="4">
        <f>IF(A14&lt;ANIO_OP,0,OPEX_LOGH2_1*(1+G_OPEX_LOGH2)^(A14-ANIO_OP))</f>
        <v/>
      </c>
      <c r="I14" s="4">
        <f>IF(A14&lt;ANIO_OP,0,OPEX_TRATO2_1*(1+G_OPEX_TRATO2)^(A14-ANIO_OP))</f>
        <v/>
      </c>
      <c r="J14" s="4">
        <f>G14+H14+I14</f>
        <v/>
      </c>
      <c r="K14" s="4">
        <f>IF(A14=1,CAPEX*CAPEX1,IF(A14=ANIO_REP,COSTO_REP,0))</f>
        <v/>
      </c>
      <c r="L14" s="4">
        <f>IF(A14=HORIZONTE,VALOR_TERRENO,0)</f>
        <v/>
      </c>
      <c r="M14" s="4">
        <f>F14-J14-K14+L14</f>
        <v/>
      </c>
      <c r="N14" s="8">
        <f>(1+WACC)^A14</f>
        <v/>
      </c>
      <c r="O14" s="4">
        <f>M14/N14</f>
        <v/>
      </c>
      <c r="P14" s="4">
        <f>P13+O14</f>
        <v/>
      </c>
    </row>
    <row r="15">
      <c r="A15" t="n">
        <v>13</v>
      </c>
      <c r="B15" s="4">
        <f>IF(A15&lt;ANIO_OP,0,ING_H2_1*(1+G_H2)^(A15-ANIO_OP))</f>
        <v/>
      </c>
      <c r="C15" s="4">
        <f>IF(A15&lt;ANIO_OP,0,ING_O2_1*(1+G_O2)^(A15-ANIO_OP))</f>
        <v/>
      </c>
      <c r="D15" s="4">
        <f>IF(A15&lt;ANIO_OP,0,ING_FV_1*(1+G_FV)^(A15-ANIO_OP))</f>
        <v/>
      </c>
      <c r="E15" s="4">
        <f>IF(A15&lt;ANIO_OP,0,ING_EV_1*(1+G_EV)^(A15-ANIO_OP))</f>
        <v/>
      </c>
      <c r="F15" s="4">
        <f>SUM(B15:E15)</f>
        <v/>
      </c>
      <c r="G15" s="4">
        <f>IF(A15&lt;ANIO_OP,0,OPEX_BASE_1*(1+G_OPEX_BASE)^(A15-ANIO_OP))</f>
        <v/>
      </c>
      <c r="H15" s="4">
        <f>IF(A15&lt;ANIO_OP,0,OPEX_LOGH2_1*(1+G_OPEX_LOGH2)^(A15-ANIO_OP))</f>
        <v/>
      </c>
      <c r="I15" s="4">
        <f>IF(A15&lt;ANIO_OP,0,OPEX_TRATO2_1*(1+G_OPEX_TRATO2)^(A15-ANIO_OP))</f>
        <v/>
      </c>
      <c r="J15" s="4">
        <f>G15+H15+I15</f>
        <v/>
      </c>
      <c r="K15" s="4">
        <f>IF(A15=1,CAPEX*CAPEX1,IF(A15=ANIO_REP,COSTO_REP,0))</f>
        <v/>
      </c>
      <c r="L15" s="4">
        <f>IF(A15=HORIZONTE,VALOR_TERRENO,0)</f>
        <v/>
      </c>
      <c r="M15" s="4">
        <f>F15-J15-K15+L15</f>
        <v/>
      </c>
      <c r="N15" s="8">
        <f>(1+WACC)^A15</f>
        <v/>
      </c>
      <c r="O15" s="4">
        <f>M15/N15</f>
        <v/>
      </c>
      <c r="P15" s="4">
        <f>P14+O15</f>
        <v/>
      </c>
    </row>
    <row r="16">
      <c r="A16" t="n">
        <v>14</v>
      </c>
      <c r="B16" s="4">
        <f>IF(A16&lt;ANIO_OP,0,ING_H2_1*(1+G_H2)^(A16-ANIO_OP))</f>
        <v/>
      </c>
      <c r="C16" s="4">
        <f>IF(A16&lt;ANIO_OP,0,ING_O2_1*(1+G_O2)^(A16-ANIO_OP))</f>
        <v/>
      </c>
      <c r="D16" s="4">
        <f>IF(A16&lt;ANIO_OP,0,ING_FV_1*(1+G_FV)^(A16-ANIO_OP))</f>
        <v/>
      </c>
      <c r="E16" s="4">
        <f>IF(A16&lt;ANIO_OP,0,ING_EV_1*(1+G_EV)^(A16-ANIO_OP))</f>
        <v/>
      </c>
      <c r="F16" s="4">
        <f>SUM(B16:E16)</f>
        <v/>
      </c>
      <c r="G16" s="4">
        <f>IF(A16&lt;ANIO_OP,0,OPEX_BASE_1*(1+G_OPEX_BASE)^(A16-ANIO_OP))</f>
        <v/>
      </c>
      <c r="H16" s="4">
        <f>IF(A16&lt;ANIO_OP,0,OPEX_LOGH2_1*(1+G_OPEX_LOGH2)^(A16-ANIO_OP))</f>
        <v/>
      </c>
      <c r="I16" s="4">
        <f>IF(A16&lt;ANIO_OP,0,OPEX_TRATO2_1*(1+G_OPEX_TRATO2)^(A16-ANIO_OP))</f>
        <v/>
      </c>
      <c r="J16" s="4">
        <f>G16+H16+I16</f>
        <v/>
      </c>
      <c r="K16" s="4">
        <f>IF(A16=1,CAPEX*CAPEX1,IF(A16=ANIO_REP,COSTO_REP,0))</f>
        <v/>
      </c>
      <c r="L16" s="4">
        <f>IF(A16=HORIZONTE,VALOR_TERRENO,0)</f>
        <v/>
      </c>
      <c r="M16" s="4">
        <f>F16-J16-K16+L16</f>
        <v/>
      </c>
      <c r="N16" s="8">
        <f>(1+WACC)^A16</f>
        <v/>
      </c>
      <c r="O16" s="4">
        <f>M16/N16</f>
        <v/>
      </c>
      <c r="P16" s="4">
        <f>P15+O16</f>
        <v/>
      </c>
    </row>
    <row r="17">
      <c r="A17" t="n">
        <v>15</v>
      </c>
      <c r="B17" s="4">
        <f>IF(A17&lt;ANIO_OP,0,ING_H2_1*(1+G_H2)^(A17-ANIO_OP))</f>
        <v/>
      </c>
      <c r="C17" s="4">
        <f>IF(A17&lt;ANIO_OP,0,ING_O2_1*(1+G_O2)^(A17-ANIO_OP))</f>
        <v/>
      </c>
      <c r="D17" s="4">
        <f>IF(A17&lt;ANIO_OP,0,ING_FV_1*(1+G_FV)^(A17-ANIO_OP))</f>
        <v/>
      </c>
      <c r="E17" s="4">
        <f>IF(A17&lt;ANIO_OP,0,ING_EV_1*(1+G_EV)^(A17-ANIO_OP))</f>
        <v/>
      </c>
      <c r="F17" s="4">
        <f>SUM(B17:E17)</f>
        <v/>
      </c>
      <c r="G17" s="4">
        <f>IF(A17&lt;ANIO_OP,0,OPEX_BASE_1*(1+G_OPEX_BASE)^(A17-ANIO_OP))</f>
        <v/>
      </c>
      <c r="H17" s="4">
        <f>IF(A17&lt;ANIO_OP,0,OPEX_LOGH2_1*(1+G_OPEX_LOGH2)^(A17-ANIO_OP))</f>
        <v/>
      </c>
      <c r="I17" s="4">
        <f>IF(A17&lt;ANIO_OP,0,OPEX_TRATO2_1*(1+G_OPEX_TRATO2)^(A17-ANIO_OP))</f>
        <v/>
      </c>
      <c r="J17" s="4">
        <f>G17+H17+I17</f>
        <v/>
      </c>
      <c r="K17" s="4">
        <f>IF(A17=1,CAPEX*CAPEX1,IF(A17=ANIO_REP,COSTO_REP,0))</f>
        <v/>
      </c>
      <c r="L17" s="4">
        <f>IF(A17=HORIZONTE,VALOR_TERRENO,0)</f>
        <v/>
      </c>
      <c r="M17" s="4">
        <f>F17-J17-K17+L17</f>
        <v/>
      </c>
      <c r="N17" s="8">
        <f>(1+WACC)^A17</f>
        <v/>
      </c>
      <c r="O17" s="4">
        <f>M17/N17</f>
        <v/>
      </c>
      <c r="P17" s="4">
        <f>P16+O17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7" t="inlineStr">
        <is>
          <t>Año</t>
        </is>
      </c>
      <c r="B1" s="7" t="inlineStr">
        <is>
          <t>Flujo neto base</t>
        </is>
      </c>
      <c r="C1" s="7" t="inlineStr">
        <is>
          <t>OPEX Total</t>
        </is>
      </c>
      <c r="D1" s="7" t="inlineStr">
        <is>
          <t>Reserva requerida</t>
        </is>
      </c>
      <c r="E1" s="7" t="inlineStr">
        <is>
          <t>Δ Reserva</t>
        </is>
      </c>
      <c r="F1" s="7" t="inlineStr">
        <is>
          <t>Liquidez inicial</t>
        </is>
      </c>
      <c r="G1" s="7" t="inlineStr">
        <is>
          <t>Préstamo necesario</t>
        </is>
      </c>
      <c r="H1" s="7" t="inlineStr">
        <is>
          <t>Interés deuda</t>
        </is>
      </c>
      <c r="I1" s="7" t="inlineStr">
        <is>
          <t>Liquidez final</t>
        </is>
      </c>
      <c r="J1" s="7" t="inlineStr">
        <is>
          <t>Deuda acumulada</t>
        </is>
      </c>
    </row>
    <row r="2">
      <c r="A2" t="n">
        <v>0</v>
      </c>
      <c r="B2" s="4">
        <f>Flujo_Base!M2</f>
        <v/>
      </c>
      <c r="C2" s="4">
        <f>Flujo_Base!J2</f>
        <v/>
      </c>
      <c r="D2" s="4">
        <f>C2*RESERVA_PCT</f>
        <v/>
      </c>
      <c r="E2" s="4">
        <f>D2</f>
        <v/>
      </c>
      <c r="F2" s="4">
        <f>0</f>
        <v/>
      </c>
      <c r="G2" s="4">
        <f>MAX(0, -(F2 + B2 - E2))</f>
        <v/>
      </c>
      <c r="H2" s="4">
        <f>0</f>
        <v/>
      </c>
      <c r="I2" s="4">
        <f>F2 + B2 - E2 + G2 - H2</f>
        <v/>
      </c>
      <c r="J2" s="4">
        <f>G2</f>
        <v/>
      </c>
    </row>
    <row r="3">
      <c r="A3" t="n">
        <v>1</v>
      </c>
      <c r="B3" s="4">
        <f>Flujo_Base!M3</f>
        <v/>
      </c>
      <c r="C3" s="4">
        <f>Flujo_Base!J3</f>
        <v/>
      </c>
      <c r="D3" s="4">
        <f>C3*RESERVA_PCT</f>
        <v/>
      </c>
      <c r="E3" s="4">
        <f>D3-D2</f>
        <v/>
      </c>
      <c r="F3" s="4">
        <f>I2</f>
        <v/>
      </c>
      <c r="G3" s="4">
        <f>MAX(0, -(F3 + B3 - E3))</f>
        <v/>
      </c>
      <c r="H3" s="4">
        <f>J2*TASA_CRED</f>
        <v/>
      </c>
      <c r="I3" s="4">
        <f>F3 + B3 - E3 + G3 - H3</f>
        <v/>
      </c>
      <c r="J3" s="4">
        <f>J2 + G3 + H3</f>
        <v/>
      </c>
    </row>
    <row r="4">
      <c r="A4" t="n">
        <v>2</v>
      </c>
      <c r="B4" s="4">
        <f>Flujo_Base!M4</f>
        <v/>
      </c>
      <c r="C4" s="4">
        <f>Flujo_Base!J4</f>
        <v/>
      </c>
      <c r="D4" s="4">
        <f>C4*RESERVA_PCT</f>
        <v/>
      </c>
      <c r="E4" s="4">
        <f>D4-D3</f>
        <v/>
      </c>
      <c r="F4" s="4">
        <f>I3</f>
        <v/>
      </c>
      <c r="G4" s="4">
        <f>MAX(0, -(F4 + B4 - E4))</f>
        <v/>
      </c>
      <c r="H4" s="4">
        <f>J3*TASA_CRED</f>
        <v/>
      </c>
      <c r="I4" s="4">
        <f>F4 + B4 - E4 + G4 - H4</f>
        <v/>
      </c>
      <c r="J4" s="4">
        <f>J3 + G4 + H4</f>
        <v/>
      </c>
    </row>
    <row r="5">
      <c r="A5" t="n">
        <v>3</v>
      </c>
      <c r="B5" s="4">
        <f>Flujo_Base!M5</f>
        <v/>
      </c>
      <c r="C5" s="4">
        <f>Flujo_Base!J5</f>
        <v/>
      </c>
      <c r="D5" s="4">
        <f>C5*RESERVA_PCT</f>
        <v/>
      </c>
      <c r="E5" s="4">
        <f>D5-D4</f>
        <v/>
      </c>
      <c r="F5" s="4">
        <f>I4</f>
        <v/>
      </c>
      <c r="G5" s="4">
        <f>MAX(0, -(F5 + B5 - E5))</f>
        <v/>
      </c>
      <c r="H5" s="4">
        <f>J4*TASA_CRED</f>
        <v/>
      </c>
      <c r="I5" s="4">
        <f>F5 + B5 - E5 + G5 - H5</f>
        <v/>
      </c>
      <c r="J5" s="4">
        <f>J4 + G5 + H5</f>
        <v/>
      </c>
    </row>
    <row r="6">
      <c r="A6" t="n">
        <v>4</v>
      </c>
      <c r="B6" s="4">
        <f>Flujo_Base!M6</f>
        <v/>
      </c>
      <c r="C6" s="4">
        <f>Flujo_Base!J6</f>
        <v/>
      </c>
      <c r="D6" s="4">
        <f>C6*RESERVA_PCT</f>
        <v/>
      </c>
      <c r="E6" s="4">
        <f>D6-D5</f>
        <v/>
      </c>
      <c r="F6" s="4">
        <f>I5</f>
        <v/>
      </c>
      <c r="G6" s="4">
        <f>MAX(0, -(F6 + B6 - E6))</f>
        <v/>
      </c>
      <c r="H6" s="4">
        <f>J5*TASA_CRED</f>
        <v/>
      </c>
      <c r="I6" s="4">
        <f>F6 + B6 - E6 + G6 - H6</f>
        <v/>
      </c>
      <c r="J6" s="4">
        <f>J5 + G6 + H6</f>
        <v/>
      </c>
    </row>
    <row r="7">
      <c r="A7" t="n">
        <v>5</v>
      </c>
      <c r="B7" s="4">
        <f>Flujo_Base!M7</f>
        <v/>
      </c>
      <c r="C7" s="4">
        <f>Flujo_Base!J7</f>
        <v/>
      </c>
      <c r="D7" s="4">
        <f>C7*RESERVA_PCT</f>
        <v/>
      </c>
      <c r="E7" s="4">
        <f>D7-D6</f>
        <v/>
      </c>
      <c r="F7" s="4">
        <f>I6</f>
        <v/>
      </c>
      <c r="G7" s="4">
        <f>MAX(0, -(F7 + B7 - E7))</f>
        <v/>
      </c>
      <c r="H7" s="4">
        <f>J6*TASA_CRED</f>
        <v/>
      </c>
      <c r="I7" s="4">
        <f>F7 + B7 - E7 + G7 - H7</f>
        <v/>
      </c>
      <c r="J7" s="4">
        <f>J6 + G7 + H7</f>
        <v/>
      </c>
    </row>
    <row r="8">
      <c r="A8" t="n">
        <v>6</v>
      </c>
      <c r="B8" s="4">
        <f>Flujo_Base!M8</f>
        <v/>
      </c>
      <c r="C8" s="4">
        <f>Flujo_Base!J8</f>
        <v/>
      </c>
      <c r="D8" s="4">
        <f>C8*RESERVA_PCT</f>
        <v/>
      </c>
      <c r="E8" s="4">
        <f>D8-D7</f>
        <v/>
      </c>
      <c r="F8" s="4">
        <f>I7</f>
        <v/>
      </c>
      <c r="G8" s="4">
        <f>MAX(0, -(F8 + B8 - E8))</f>
        <v/>
      </c>
      <c r="H8" s="4">
        <f>J7*TASA_CRED</f>
        <v/>
      </c>
      <c r="I8" s="4">
        <f>F8 + B8 - E8 + G8 - H8</f>
        <v/>
      </c>
      <c r="J8" s="4">
        <f>J7 + G8 + H8</f>
        <v/>
      </c>
    </row>
    <row r="9">
      <c r="A9" t="n">
        <v>7</v>
      </c>
      <c r="B9" s="4">
        <f>Flujo_Base!M9</f>
        <v/>
      </c>
      <c r="C9" s="4">
        <f>Flujo_Base!J9</f>
        <v/>
      </c>
      <c r="D9" s="4">
        <f>C9*RESERVA_PCT</f>
        <v/>
      </c>
      <c r="E9" s="4">
        <f>D9-D8</f>
        <v/>
      </c>
      <c r="F9" s="4">
        <f>I8</f>
        <v/>
      </c>
      <c r="G9" s="4">
        <f>MAX(0, -(F9 + B9 - E9))</f>
        <v/>
      </c>
      <c r="H9" s="4">
        <f>J8*TASA_CRED</f>
        <v/>
      </c>
      <c r="I9" s="4">
        <f>F9 + B9 - E9 + G9 - H9</f>
        <v/>
      </c>
      <c r="J9" s="4">
        <f>J8 + G9 + H9</f>
        <v/>
      </c>
    </row>
    <row r="10">
      <c r="A10" t="n">
        <v>8</v>
      </c>
      <c r="B10" s="4">
        <f>Flujo_Base!M10</f>
        <v/>
      </c>
      <c r="C10" s="4">
        <f>Flujo_Base!J10</f>
        <v/>
      </c>
      <c r="D10" s="4">
        <f>C10*RESERVA_PCT</f>
        <v/>
      </c>
      <c r="E10" s="4">
        <f>D10-D9</f>
        <v/>
      </c>
      <c r="F10" s="4">
        <f>I9</f>
        <v/>
      </c>
      <c r="G10" s="4">
        <f>MAX(0, -(F10 + B10 - E10))</f>
        <v/>
      </c>
      <c r="H10" s="4">
        <f>J9*TASA_CRED</f>
        <v/>
      </c>
      <c r="I10" s="4">
        <f>F10 + B10 - E10 + G10 - H10</f>
        <v/>
      </c>
      <c r="J10" s="4">
        <f>J9 + G10 + H10</f>
        <v/>
      </c>
    </row>
    <row r="11">
      <c r="A11" t="n">
        <v>9</v>
      </c>
      <c r="B11" s="4">
        <f>Flujo_Base!M11</f>
        <v/>
      </c>
      <c r="C11" s="4">
        <f>Flujo_Base!J11</f>
        <v/>
      </c>
      <c r="D11" s="4">
        <f>C11*RESERVA_PCT</f>
        <v/>
      </c>
      <c r="E11" s="4">
        <f>D11-D10</f>
        <v/>
      </c>
      <c r="F11" s="4">
        <f>I10</f>
        <v/>
      </c>
      <c r="G11" s="4">
        <f>MAX(0, -(F11 + B11 - E11))</f>
        <v/>
      </c>
      <c r="H11" s="4">
        <f>J10*TASA_CRED</f>
        <v/>
      </c>
      <c r="I11" s="4">
        <f>F11 + B11 - E11 + G11 - H11</f>
        <v/>
      </c>
      <c r="J11" s="4">
        <f>J10 + G11 + H11</f>
        <v/>
      </c>
    </row>
    <row r="12">
      <c r="A12" t="n">
        <v>10</v>
      </c>
      <c r="B12" s="4">
        <f>Flujo_Base!M12</f>
        <v/>
      </c>
      <c r="C12" s="4">
        <f>Flujo_Base!J12</f>
        <v/>
      </c>
      <c r="D12" s="4">
        <f>C12*RESERVA_PCT</f>
        <v/>
      </c>
      <c r="E12" s="4">
        <f>D12-D11</f>
        <v/>
      </c>
      <c r="F12" s="4">
        <f>I11</f>
        <v/>
      </c>
      <c r="G12" s="4">
        <f>MAX(0, -(F12 + B12 - E12))</f>
        <v/>
      </c>
      <c r="H12" s="4">
        <f>J11*TASA_CRED</f>
        <v/>
      </c>
      <c r="I12" s="4">
        <f>F12 + B12 - E12 + G12 - H12</f>
        <v/>
      </c>
      <c r="J12" s="4">
        <f>J11 + G12 + H12</f>
        <v/>
      </c>
    </row>
    <row r="13">
      <c r="A13" t="n">
        <v>11</v>
      </c>
      <c r="B13" s="4">
        <f>Flujo_Base!M13</f>
        <v/>
      </c>
      <c r="C13" s="4">
        <f>Flujo_Base!J13</f>
        <v/>
      </c>
      <c r="D13" s="4">
        <f>C13*RESERVA_PCT</f>
        <v/>
      </c>
      <c r="E13" s="4">
        <f>D13-D12</f>
        <v/>
      </c>
      <c r="F13" s="4">
        <f>I12</f>
        <v/>
      </c>
      <c r="G13" s="4">
        <f>MAX(0, -(F13 + B13 - E13))</f>
        <v/>
      </c>
      <c r="H13" s="4">
        <f>J12*TASA_CRED</f>
        <v/>
      </c>
      <c r="I13" s="4">
        <f>F13 + B13 - E13 + G13 - H13</f>
        <v/>
      </c>
      <c r="J13" s="4">
        <f>J12 + G13 + H13</f>
        <v/>
      </c>
    </row>
    <row r="14">
      <c r="A14" t="n">
        <v>12</v>
      </c>
      <c r="B14" s="4">
        <f>Flujo_Base!M14</f>
        <v/>
      </c>
      <c r="C14" s="4">
        <f>Flujo_Base!J14</f>
        <v/>
      </c>
      <c r="D14" s="4">
        <f>C14*RESERVA_PCT</f>
        <v/>
      </c>
      <c r="E14" s="4">
        <f>D14-D13</f>
        <v/>
      </c>
      <c r="F14" s="4">
        <f>I13</f>
        <v/>
      </c>
      <c r="G14" s="4">
        <f>MAX(0, -(F14 + B14 - E14))</f>
        <v/>
      </c>
      <c r="H14" s="4">
        <f>J13*TASA_CRED</f>
        <v/>
      </c>
      <c r="I14" s="4">
        <f>F14 + B14 - E14 + G14 - H14</f>
        <v/>
      </c>
      <c r="J14" s="4">
        <f>J13 + G14 + H14</f>
        <v/>
      </c>
    </row>
    <row r="15">
      <c r="A15" t="n">
        <v>13</v>
      </c>
      <c r="B15" s="4">
        <f>Flujo_Base!M15</f>
        <v/>
      </c>
      <c r="C15" s="4">
        <f>Flujo_Base!J15</f>
        <v/>
      </c>
      <c r="D15" s="4">
        <f>C15*RESERVA_PCT</f>
        <v/>
      </c>
      <c r="E15" s="4">
        <f>D15-D14</f>
        <v/>
      </c>
      <c r="F15" s="4">
        <f>I14</f>
        <v/>
      </c>
      <c r="G15" s="4">
        <f>MAX(0, -(F15 + B15 - E15))</f>
        <v/>
      </c>
      <c r="H15" s="4">
        <f>J14*TASA_CRED</f>
        <v/>
      </c>
      <c r="I15" s="4">
        <f>F15 + B15 - E15 + G15 - H15</f>
        <v/>
      </c>
      <c r="J15" s="4">
        <f>J14 + G15 + H15</f>
        <v/>
      </c>
    </row>
    <row r="16">
      <c r="A16" t="n">
        <v>14</v>
      </c>
      <c r="B16" s="4">
        <f>Flujo_Base!M16</f>
        <v/>
      </c>
      <c r="C16" s="4">
        <f>Flujo_Base!J16</f>
        <v/>
      </c>
      <c r="D16" s="4">
        <f>C16*RESERVA_PCT</f>
        <v/>
      </c>
      <c r="E16" s="4">
        <f>D16-D15</f>
        <v/>
      </c>
      <c r="F16" s="4">
        <f>I15</f>
        <v/>
      </c>
      <c r="G16" s="4">
        <f>MAX(0, -(F16 + B16 - E16))</f>
        <v/>
      </c>
      <c r="H16" s="4">
        <f>J15*TASA_CRED</f>
        <v/>
      </c>
      <c r="I16" s="4">
        <f>F16 + B16 - E16 + G16 - H16</f>
        <v/>
      </c>
      <c r="J16" s="4">
        <f>J15 + G16 + H16</f>
        <v/>
      </c>
    </row>
    <row r="17">
      <c r="A17" t="n">
        <v>15</v>
      </c>
      <c r="B17" s="4">
        <f>Flujo_Base!M17</f>
        <v/>
      </c>
      <c r="C17" s="4">
        <f>Flujo_Base!J17</f>
        <v/>
      </c>
      <c r="D17" s="4">
        <f>C17*RESERVA_PCT</f>
        <v/>
      </c>
      <c r="E17" s="4">
        <f>D17-D16</f>
        <v/>
      </c>
      <c r="F17" s="4">
        <f>I16</f>
        <v/>
      </c>
      <c r="G17" s="4">
        <f>MAX(0, -(F17 + B17 - E17))</f>
        <v/>
      </c>
      <c r="H17" s="4">
        <f>J16*TASA_CRED</f>
        <v/>
      </c>
      <c r="I17" s="4">
        <f>F17 + B17 - E17 + G17 - H17</f>
        <v/>
      </c>
      <c r="J17" s="4">
        <f>J16 + G17 + H17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</cols>
  <sheetData>
    <row r="1">
      <c r="A1" s="7" t="inlineStr">
        <is>
          <t>Año</t>
        </is>
      </c>
      <c r="B1" s="7" t="inlineStr">
        <is>
          <t>VAN acumulado (Flujo_Base)</t>
        </is>
      </c>
      <c r="C1" s="7" t="inlineStr">
        <is>
          <t>TIR acumulada</t>
        </is>
      </c>
    </row>
    <row r="2">
      <c r="A2" t="n">
        <v>0</v>
      </c>
      <c r="B2">
        <f>Flujo_Base!P2</f>
        <v/>
      </c>
      <c r="C2">
        <f>IF(A2=0,NA(),IRR(Flujo_Base!M$2:INDEX(Flujo_Base!M:M, A2+2)))</f>
        <v/>
      </c>
    </row>
    <row r="3">
      <c r="A3" t="n">
        <v>1</v>
      </c>
      <c r="B3">
        <f>Flujo_Base!P3</f>
        <v/>
      </c>
      <c r="C3">
        <f>IF(A3=0,NA(),IRR(Flujo_Base!M$2:INDEX(Flujo_Base!M:M, A3+2)))</f>
        <v/>
      </c>
    </row>
    <row r="4">
      <c r="A4" t="n">
        <v>2</v>
      </c>
      <c r="B4">
        <f>Flujo_Base!P4</f>
        <v/>
      </c>
      <c r="C4">
        <f>IF(A4=0,NA(),IRR(Flujo_Base!M$2:INDEX(Flujo_Base!M:M, A4+2)))</f>
        <v/>
      </c>
    </row>
    <row r="5">
      <c r="A5" t="n">
        <v>3</v>
      </c>
      <c r="B5">
        <f>Flujo_Base!P5</f>
        <v/>
      </c>
      <c r="C5">
        <f>IF(A5=0,NA(),IRR(Flujo_Base!M$2:INDEX(Flujo_Base!M:M, A5+2)))</f>
        <v/>
      </c>
    </row>
    <row r="6">
      <c r="A6" t="n">
        <v>4</v>
      </c>
      <c r="B6">
        <f>Flujo_Base!P6</f>
        <v/>
      </c>
      <c r="C6">
        <f>IF(A6=0,NA(),IRR(Flujo_Base!M$2:INDEX(Flujo_Base!M:M, A6+2)))</f>
        <v/>
      </c>
    </row>
    <row r="7">
      <c r="A7" t="n">
        <v>5</v>
      </c>
      <c r="B7">
        <f>Flujo_Base!P7</f>
        <v/>
      </c>
      <c r="C7">
        <f>IF(A7=0,NA(),IRR(Flujo_Base!M$2:INDEX(Flujo_Base!M:M, A7+2)))</f>
        <v/>
      </c>
    </row>
    <row r="8">
      <c r="A8" t="n">
        <v>6</v>
      </c>
      <c r="B8">
        <f>Flujo_Base!P8</f>
        <v/>
      </c>
      <c r="C8">
        <f>IF(A8=0,NA(),IRR(Flujo_Base!M$2:INDEX(Flujo_Base!M:M, A8+2)))</f>
        <v/>
      </c>
    </row>
    <row r="9">
      <c r="A9" t="n">
        <v>7</v>
      </c>
      <c r="B9">
        <f>Flujo_Base!P9</f>
        <v/>
      </c>
      <c r="C9">
        <f>IF(A9=0,NA(),IRR(Flujo_Base!M$2:INDEX(Flujo_Base!M:M, A9+2)))</f>
        <v/>
      </c>
    </row>
    <row r="10">
      <c r="A10" t="n">
        <v>8</v>
      </c>
      <c r="B10">
        <f>Flujo_Base!P10</f>
        <v/>
      </c>
      <c r="C10">
        <f>IF(A10=0,NA(),IRR(Flujo_Base!M$2:INDEX(Flujo_Base!M:M, A10+2)))</f>
        <v/>
      </c>
    </row>
    <row r="11">
      <c r="A11" t="n">
        <v>9</v>
      </c>
      <c r="B11">
        <f>Flujo_Base!P11</f>
        <v/>
      </c>
      <c r="C11">
        <f>IF(A11=0,NA(),IRR(Flujo_Base!M$2:INDEX(Flujo_Base!M:M, A11+2)))</f>
        <v/>
      </c>
    </row>
    <row r="12">
      <c r="A12" t="n">
        <v>10</v>
      </c>
      <c r="B12">
        <f>Flujo_Base!P12</f>
        <v/>
      </c>
      <c r="C12">
        <f>IF(A12=0,NA(),IRR(Flujo_Base!M$2:INDEX(Flujo_Base!M:M, A12+2)))</f>
        <v/>
      </c>
    </row>
    <row r="13">
      <c r="A13" t="n">
        <v>11</v>
      </c>
      <c r="B13">
        <f>Flujo_Base!P13</f>
        <v/>
      </c>
      <c r="C13">
        <f>IF(A13=0,NA(),IRR(Flujo_Base!M$2:INDEX(Flujo_Base!M:M, A13+2)))</f>
        <v/>
      </c>
    </row>
    <row r="14">
      <c r="A14" t="n">
        <v>12</v>
      </c>
      <c r="B14">
        <f>Flujo_Base!P14</f>
        <v/>
      </c>
      <c r="C14">
        <f>IF(A14=0,NA(),IRR(Flujo_Base!M$2:INDEX(Flujo_Base!M:M, A14+2)))</f>
        <v/>
      </c>
    </row>
    <row r="15">
      <c r="A15" t="n">
        <v>13</v>
      </c>
      <c r="B15">
        <f>Flujo_Base!P15</f>
        <v/>
      </c>
      <c r="C15">
        <f>IF(A15=0,NA(),IRR(Flujo_Base!M$2:INDEX(Flujo_Base!M:M, A15+2)))</f>
        <v/>
      </c>
    </row>
    <row r="16">
      <c r="A16" t="n">
        <v>14</v>
      </c>
      <c r="B16">
        <f>Flujo_Base!P16</f>
        <v/>
      </c>
      <c r="C16">
        <f>IF(A16=0,NA(),IRR(Flujo_Base!M$2:INDEX(Flujo_Base!M:M, A16+2)))</f>
        <v/>
      </c>
    </row>
    <row r="17">
      <c r="A17" t="n">
        <v>15</v>
      </c>
      <c r="B17">
        <f>Flujo_Base!P17</f>
        <v/>
      </c>
      <c r="C17">
        <f>IF(A17=0,NA(),IRR(Flujo_Base!M$2:INDEX(Flujo_Base!M:M, A17+2)))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Resumen Ejecutivo – ElectroHub (v4.1a con logística H2/O2, FV=1.2 MW y escenarios)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Escenario</t>
        </is>
      </c>
      <c r="B1" s="5" t="inlineStr">
        <is>
          <t>VAN (MXN)</t>
        </is>
      </c>
      <c r="C1" s="5" t="inlineStr">
        <is>
          <t>TIR</t>
        </is>
      </c>
      <c r="D1" s="5" t="inlineStr">
        <is>
          <t>Payback (años)</t>
        </is>
      </c>
      <c r="E1" s="5" t="inlineStr">
        <is>
          <t>PI</t>
        </is>
      </c>
    </row>
    <row r="2">
      <c r="A2" s="1" t="inlineStr">
        <is>
          <t>Año</t>
        </is>
      </c>
      <c r="B2" s="1" t="inlineStr">
        <is>
          <t>Flujo_Optimista</t>
        </is>
      </c>
      <c r="C2" s="1" t="inlineStr">
        <is>
          <t>Flujo_Base</t>
        </is>
      </c>
      <c r="D2" s="1" t="inlineStr">
        <is>
          <t>Flujo_Conservador</t>
        </is>
      </c>
      <c r="G2" s="1" t="inlineStr">
        <is>
          <t>Optimista</t>
        </is>
      </c>
      <c r="H2" s="1" t="inlineStr">
        <is>
          <t>Base</t>
        </is>
      </c>
      <c r="I2" s="1" t="inlineStr">
        <is>
          <t>Conservador</t>
        </is>
      </c>
    </row>
    <row r="3">
      <c r="A3" t="n">
        <v>0</v>
      </c>
      <c r="B3">
        <f>IF(A3&lt;ANIO_OP,0,(Escenarios_v4!$B$2*G$3*(1+G_H2)^(A3-ANIO_OP)+Escenarios_v4!$B$3*G$4*(1+G_O2)^(A3-ANIO_OP)+Escenarios_v4!$B$4*G$5*(1+G_FV)^(A3-ANIO_OP)+Escenarios_v4!$B$5*G$6*(1+G_EV)^(A3-ANIO_OP))-(Escenarios_v4!$B$6*G$7*(1+G_OPEX_BASE)^(A3-ANIO_OP)+Escenarios_v4!$B$7*G$8*(1+G_OPEX_LOGH2)^(A3-ANIO_OP)+Escenarios_v4!$B$8*G$9*(1+G_OPEX_TRATO2)^(A3-ANIO_OP)))+IF(A3=0,CAPEX*CAPEX0,IF(A3=1,CAPEX*CAPEX1,IF(A3=ANIO_REP,COSTO_REP,0)))*(-1)+IF(A3=HORIZONTE,VALOR_TERRENO,0))</f>
        <v/>
      </c>
      <c r="C3">
        <f>IF(A3&lt;ANIO_OP,0,(Escenarios_v4!$B$2*H$3*(1+G_H2)^(A3-ANIO_OP)+Escenarios_v4!$B$3*H$4*(1+G_O2)^(A3-ANIO_OP)+Escenarios_v4!$B$4*H$5*(1+G_FV)^(A3-ANIO_OP)+Escenarios_v4!$B$5*H$6*(1+G_EV)^(A3-ANIO_OP))-(Escenarios_v4!$B$6*H$7*(1+G_OPEX_BASE)^(A3-ANIO_OP)+Escenarios_v4!$B$7*H$8*(1+G_OPEX_LOGH2)^(A3-ANIO_OP)+Escenarios_v4!$B$8*H$9*(1+G_OPEX_TRATO2)^(A3-ANIO_OP)))+IF(A3=0,CAPEX*CAPEX0,IF(A3=1,CAPEX*CAPEX1,IF(A3=ANIO_REP,COSTO_REP,0)))*(-1)+IF(A3=HORIZONTE,VALOR_TERRENO,0))</f>
        <v/>
      </c>
      <c r="D3">
        <f>IF(A3&lt;ANIO_OP,0,(Escenarios_v4!$B$2*I$3*(1+G_H2)^(A3-ANIO_OP)+Escenarios_v4!$B$3*I$4*(1+G_O2)^(A3-ANIO_OP)+Escenarios_v4!$B$4*I$5*(1+G_FV)^(A3-ANIO_OP)+Escenarios_v4!$B$5*I$6*(1+G_EV)^(A3-ANIO_OP))-(Escenarios_v4!$B$6*I$7*(1+G_OPEX_BASE)^(A3-ANIO_OP)+Escenarios_v4!$B$7*I$8*(1+G_OPEX_LOGH2)^(A3-ANIO_OP)+Escenarios_v4!$B$8*I$9*(1+G_OPEX_TRATO2)^(A3-ANIO_OP)))+IF(A3=0,CAPEX*CAPEX0,IF(A3=1,CAPEX*CAPEX1,IF(A3=ANIO_REP,COSTO_REP,0)))*(-1)+IF(A3=HORIZONTE,VALOR_TERRENO,0))</f>
        <v/>
      </c>
      <c r="G3">
        <f>INDEX(Escenarios_v4!$B$13:$H$15, MATCH($G$2,Escenarios_v4!$A$13:$A$15,0), 2)</f>
        <v/>
      </c>
      <c r="H3" t="n">
        <v>1</v>
      </c>
      <c r="I3">
        <f>INDEX(Escenarios_v4!$B$13:$H$15, MATCH($I$2,Escenarios_v4!$A$13:$A$15,0), 2)</f>
        <v/>
      </c>
    </row>
    <row r="4">
      <c r="A4" t="n">
        <v>1</v>
      </c>
      <c r="B4">
        <f>IF(A4&lt;ANIO_OP,0,(Escenarios_v4!$B$2*G$3*(1+G_H2)^(A4-ANIO_OP)+Escenarios_v4!$B$3*G$4*(1+G_O2)^(A4-ANIO_OP)+Escenarios_v4!$B$4*G$5*(1+G_FV)^(A4-ANIO_OP)+Escenarios_v4!$B$5*G$6*(1+G_EV)^(A4-ANIO_OP))-(Escenarios_v4!$B$6*G$7*(1+G_OPEX_BASE)^(A4-ANIO_OP)+Escenarios_v4!$B$7*G$8*(1+G_OPEX_LOGH2)^(A4-ANIO_OP)+Escenarios_v4!$B$8*G$9*(1+G_OPEX_TRATO2)^(A4-ANIO_OP)))+IF(A4=0,CAPEX*CAPEX0,IF(A4=1,CAPEX*CAPEX1,IF(A4=ANIO_REP,COSTO_REP,0)))*(-1)+IF(A4=HORIZONTE,VALOR_TERRENO,0))</f>
        <v/>
      </c>
      <c r="C4">
        <f>IF(A4&lt;ANIO_OP,0,(Escenarios_v4!$B$2*H$3*(1+G_H2)^(A4-ANIO_OP)+Escenarios_v4!$B$3*H$4*(1+G_O2)^(A4-ANIO_OP)+Escenarios_v4!$B$4*H$5*(1+G_FV)^(A4-ANIO_OP)+Escenarios_v4!$B$5*H$6*(1+G_EV)^(A4-ANIO_OP))-(Escenarios_v4!$B$6*H$7*(1+G_OPEX_BASE)^(A4-ANIO_OP)+Escenarios_v4!$B$7*H$8*(1+G_OPEX_LOGH2)^(A4-ANIO_OP)+Escenarios_v4!$B$8*H$9*(1+G_OPEX_TRATO2)^(A4-ANIO_OP)))+IF(A4=0,CAPEX*CAPEX0,IF(A4=1,CAPEX*CAPEX1,IF(A4=ANIO_REP,COSTO_REP,0)))*(-1)+IF(A4=HORIZONTE,VALOR_TERRENO,0))</f>
        <v/>
      </c>
      <c r="D4">
        <f>IF(A4&lt;ANIO_OP,0,(Escenarios_v4!$B$2*I$3*(1+G_H2)^(A4-ANIO_OP)+Escenarios_v4!$B$3*I$4*(1+G_O2)^(A4-ANIO_OP)+Escenarios_v4!$B$4*I$5*(1+G_FV)^(A4-ANIO_OP)+Escenarios_v4!$B$5*I$6*(1+G_EV)^(A4-ANIO_OP))-(Escenarios_v4!$B$6*I$7*(1+G_OPEX_BASE)^(A4-ANIO_OP)+Escenarios_v4!$B$7*I$8*(1+G_OPEX_LOGH2)^(A4-ANIO_OP)+Escenarios_v4!$B$8*I$9*(1+G_OPEX_TRATO2)^(A4-ANIO_OP)))+IF(A4=0,CAPEX*CAPEX0,IF(A4=1,CAPEX*CAPEX1,IF(A4=ANIO_REP,COSTO_REP,0)))*(-1)+IF(A4=HORIZONTE,VALOR_TERRENO,0))</f>
        <v/>
      </c>
      <c r="G4">
        <f>INDEX(Escenarios_v4!$B$13:$H$15, MATCH($G$2,Escenarios_v4!$A$13:$A$15,0), 3)</f>
        <v/>
      </c>
      <c r="H4" t="n">
        <v>1</v>
      </c>
      <c r="I4">
        <f>INDEX(Escenarios_v4!$B$13:$H$15, MATCH($I$2,Escenarios_v4!$A$13:$A$15,0), 3)</f>
        <v/>
      </c>
    </row>
    <row r="5">
      <c r="A5" t="n">
        <v>2</v>
      </c>
      <c r="B5">
        <f>IF(A5&lt;ANIO_OP,0,(Escenarios_v4!$B$2*G$3*(1+G_H2)^(A5-ANIO_OP)+Escenarios_v4!$B$3*G$4*(1+G_O2)^(A5-ANIO_OP)+Escenarios_v4!$B$4*G$5*(1+G_FV)^(A5-ANIO_OP)+Escenarios_v4!$B$5*G$6*(1+G_EV)^(A5-ANIO_OP))-(Escenarios_v4!$B$6*G$7*(1+G_OPEX_BASE)^(A5-ANIO_OP)+Escenarios_v4!$B$7*G$8*(1+G_OPEX_LOGH2)^(A5-ANIO_OP)+Escenarios_v4!$B$8*G$9*(1+G_OPEX_TRATO2)^(A5-ANIO_OP)))+IF(A5=0,CAPEX*CAPEX0,IF(A5=1,CAPEX*CAPEX1,IF(A5=ANIO_REP,COSTO_REP,0)))*(-1)+IF(A5=HORIZONTE,VALOR_TERRENO,0))</f>
        <v/>
      </c>
      <c r="C5">
        <f>IF(A5&lt;ANIO_OP,0,(Escenarios_v4!$B$2*H$3*(1+G_H2)^(A5-ANIO_OP)+Escenarios_v4!$B$3*H$4*(1+G_O2)^(A5-ANIO_OP)+Escenarios_v4!$B$4*H$5*(1+G_FV)^(A5-ANIO_OP)+Escenarios_v4!$B$5*H$6*(1+G_EV)^(A5-ANIO_OP))-(Escenarios_v4!$B$6*H$7*(1+G_OPEX_BASE)^(A5-ANIO_OP)+Escenarios_v4!$B$7*H$8*(1+G_OPEX_LOGH2)^(A5-ANIO_OP)+Escenarios_v4!$B$8*H$9*(1+G_OPEX_TRATO2)^(A5-ANIO_OP)))+IF(A5=0,CAPEX*CAPEX0,IF(A5=1,CAPEX*CAPEX1,IF(A5=ANIO_REP,COSTO_REP,0)))*(-1)+IF(A5=HORIZONTE,VALOR_TERRENO,0))</f>
        <v/>
      </c>
      <c r="D5">
        <f>IF(A5&lt;ANIO_OP,0,(Escenarios_v4!$B$2*I$3*(1+G_H2)^(A5-ANIO_OP)+Escenarios_v4!$B$3*I$4*(1+G_O2)^(A5-ANIO_OP)+Escenarios_v4!$B$4*I$5*(1+G_FV)^(A5-ANIO_OP)+Escenarios_v4!$B$5*I$6*(1+G_EV)^(A5-ANIO_OP))-(Escenarios_v4!$B$6*I$7*(1+G_OPEX_BASE)^(A5-ANIO_OP)+Escenarios_v4!$B$7*I$8*(1+G_OPEX_LOGH2)^(A5-ANIO_OP)+Escenarios_v4!$B$8*I$9*(1+G_OPEX_TRATO2)^(A5-ANIO_OP)))+IF(A5=0,CAPEX*CAPEX0,IF(A5=1,CAPEX*CAPEX1,IF(A5=ANIO_REP,COSTO_REP,0)))*(-1)+IF(A5=HORIZONTE,VALOR_TERRENO,0))</f>
        <v/>
      </c>
      <c r="G5">
        <f>INDEX(Escenarios_v4!$B$13:$H$15, MATCH($G$2,Escenarios_v4!$A$13:$A$15,0), 4)</f>
        <v/>
      </c>
      <c r="H5" t="n">
        <v>1</v>
      </c>
      <c r="I5">
        <f>INDEX(Escenarios_v4!$B$13:$H$15, MATCH($I$2,Escenarios_v4!$A$13:$A$15,0), 4)</f>
        <v/>
      </c>
    </row>
    <row r="6">
      <c r="A6" t="n">
        <v>3</v>
      </c>
      <c r="B6">
        <f>IF(A6&lt;ANIO_OP,0,(Escenarios_v4!$B$2*G$3*(1+G_H2)^(A6-ANIO_OP)+Escenarios_v4!$B$3*G$4*(1+G_O2)^(A6-ANIO_OP)+Escenarios_v4!$B$4*G$5*(1+G_FV)^(A6-ANIO_OP)+Escenarios_v4!$B$5*G$6*(1+G_EV)^(A6-ANIO_OP))-(Escenarios_v4!$B$6*G$7*(1+G_OPEX_BASE)^(A6-ANIO_OP)+Escenarios_v4!$B$7*G$8*(1+G_OPEX_LOGH2)^(A6-ANIO_OP)+Escenarios_v4!$B$8*G$9*(1+G_OPEX_TRATO2)^(A6-ANIO_OP)))+IF(A6=0,CAPEX*CAPEX0,IF(A6=1,CAPEX*CAPEX1,IF(A6=ANIO_REP,COSTO_REP,0)))*(-1)+IF(A6=HORIZONTE,VALOR_TERRENO,0))</f>
        <v/>
      </c>
      <c r="C6">
        <f>IF(A6&lt;ANIO_OP,0,(Escenarios_v4!$B$2*H$3*(1+G_H2)^(A6-ANIO_OP)+Escenarios_v4!$B$3*H$4*(1+G_O2)^(A6-ANIO_OP)+Escenarios_v4!$B$4*H$5*(1+G_FV)^(A6-ANIO_OP)+Escenarios_v4!$B$5*H$6*(1+G_EV)^(A6-ANIO_OP))-(Escenarios_v4!$B$6*H$7*(1+G_OPEX_BASE)^(A6-ANIO_OP)+Escenarios_v4!$B$7*H$8*(1+G_OPEX_LOGH2)^(A6-ANIO_OP)+Escenarios_v4!$B$8*H$9*(1+G_OPEX_TRATO2)^(A6-ANIO_OP)))+IF(A6=0,CAPEX*CAPEX0,IF(A6=1,CAPEX*CAPEX1,IF(A6=ANIO_REP,COSTO_REP,0)))*(-1)+IF(A6=HORIZONTE,VALOR_TERRENO,0))</f>
        <v/>
      </c>
      <c r="D6">
        <f>IF(A6&lt;ANIO_OP,0,(Escenarios_v4!$B$2*I$3*(1+G_H2)^(A6-ANIO_OP)+Escenarios_v4!$B$3*I$4*(1+G_O2)^(A6-ANIO_OP)+Escenarios_v4!$B$4*I$5*(1+G_FV)^(A6-ANIO_OP)+Escenarios_v4!$B$5*I$6*(1+G_EV)^(A6-ANIO_OP))-(Escenarios_v4!$B$6*I$7*(1+G_OPEX_BASE)^(A6-ANIO_OP)+Escenarios_v4!$B$7*I$8*(1+G_OPEX_LOGH2)^(A6-ANIO_OP)+Escenarios_v4!$B$8*I$9*(1+G_OPEX_TRATO2)^(A6-ANIO_OP)))+IF(A6=0,CAPEX*CAPEX0,IF(A6=1,CAPEX*CAPEX1,IF(A6=ANIO_REP,COSTO_REP,0)))*(-1)+IF(A6=HORIZONTE,VALOR_TERRENO,0))</f>
        <v/>
      </c>
      <c r="G6">
        <f>INDEX(Escenarios_v4!$B$13:$H$15, MATCH($G$2,Escenarios_v4!$A$13:$A$15,0), 5)</f>
        <v/>
      </c>
      <c r="H6" t="n">
        <v>1</v>
      </c>
      <c r="I6">
        <f>INDEX(Escenarios_v4!$B$13:$H$15, MATCH($I$2,Escenarios_v4!$A$13:$A$15,0), 5)</f>
        <v/>
      </c>
    </row>
    <row r="7">
      <c r="A7" t="n">
        <v>4</v>
      </c>
      <c r="B7">
        <f>IF(A7&lt;ANIO_OP,0,(Escenarios_v4!$B$2*G$3*(1+G_H2)^(A7-ANIO_OP)+Escenarios_v4!$B$3*G$4*(1+G_O2)^(A7-ANIO_OP)+Escenarios_v4!$B$4*G$5*(1+G_FV)^(A7-ANIO_OP)+Escenarios_v4!$B$5*G$6*(1+G_EV)^(A7-ANIO_OP))-(Escenarios_v4!$B$6*G$7*(1+G_OPEX_BASE)^(A7-ANIO_OP)+Escenarios_v4!$B$7*G$8*(1+G_OPEX_LOGH2)^(A7-ANIO_OP)+Escenarios_v4!$B$8*G$9*(1+G_OPEX_TRATO2)^(A7-ANIO_OP)))+IF(A7=0,CAPEX*CAPEX0,IF(A7=1,CAPEX*CAPEX1,IF(A7=ANIO_REP,COSTO_REP,0)))*(-1)+IF(A7=HORIZONTE,VALOR_TERRENO,0))</f>
        <v/>
      </c>
      <c r="C7">
        <f>IF(A7&lt;ANIO_OP,0,(Escenarios_v4!$B$2*H$3*(1+G_H2)^(A7-ANIO_OP)+Escenarios_v4!$B$3*H$4*(1+G_O2)^(A7-ANIO_OP)+Escenarios_v4!$B$4*H$5*(1+G_FV)^(A7-ANIO_OP)+Escenarios_v4!$B$5*H$6*(1+G_EV)^(A7-ANIO_OP))-(Escenarios_v4!$B$6*H$7*(1+G_OPEX_BASE)^(A7-ANIO_OP)+Escenarios_v4!$B$7*H$8*(1+G_OPEX_LOGH2)^(A7-ANIO_OP)+Escenarios_v4!$B$8*H$9*(1+G_OPEX_TRATO2)^(A7-ANIO_OP)))+IF(A7=0,CAPEX*CAPEX0,IF(A7=1,CAPEX*CAPEX1,IF(A7=ANIO_REP,COSTO_REP,0)))*(-1)+IF(A7=HORIZONTE,VALOR_TERRENO,0))</f>
        <v/>
      </c>
      <c r="D7">
        <f>IF(A7&lt;ANIO_OP,0,(Escenarios_v4!$B$2*I$3*(1+G_H2)^(A7-ANIO_OP)+Escenarios_v4!$B$3*I$4*(1+G_O2)^(A7-ANIO_OP)+Escenarios_v4!$B$4*I$5*(1+G_FV)^(A7-ANIO_OP)+Escenarios_v4!$B$5*I$6*(1+G_EV)^(A7-ANIO_OP))-(Escenarios_v4!$B$6*I$7*(1+G_OPEX_BASE)^(A7-ANIO_OP)+Escenarios_v4!$B$7*I$8*(1+G_OPEX_LOGH2)^(A7-ANIO_OP)+Escenarios_v4!$B$8*I$9*(1+G_OPEX_TRATO2)^(A7-ANIO_OP)))+IF(A7=0,CAPEX*CAPEX0,IF(A7=1,CAPEX*CAPEX1,IF(A7=ANIO_REP,COSTO_REP,0)))*(-1)+IF(A7=HORIZONTE,VALOR_TERRENO,0))</f>
        <v/>
      </c>
      <c r="G7">
        <f>INDEX(Escenarios_v4!$B$13:$H$15, MATCH($G$2,Escenarios_v4!$A$13:$A$15,0), 6)</f>
        <v/>
      </c>
      <c r="H7" t="n">
        <v>1</v>
      </c>
      <c r="I7">
        <f>INDEX(Escenarios_v4!$B$13:$H$15, MATCH($I$2,Escenarios_v4!$A$13:$A$15,0), 6)</f>
        <v/>
      </c>
    </row>
    <row r="8">
      <c r="A8" t="n">
        <v>5</v>
      </c>
      <c r="B8">
        <f>IF(A8&lt;ANIO_OP,0,(Escenarios_v4!$B$2*G$3*(1+G_H2)^(A8-ANIO_OP)+Escenarios_v4!$B$3*G$4*(1+G_O2)^(A8-ANIO_OP)+Escenarios_v4!$B$4*G$5*(1+G_FV)^(A8-ANIO_OP)+Escenarios_v4!$B$5*G$6*(1+G_EV)^(A8-ANIO_OP))-(Escenarios_v4!$B$6*G$7*(1+G_OPEX_BASE)^(A8-ANIO_OP)+Escenarios_v4!$B$7*G$8*(1+G_OPEX_LOGH2)^(A8-ANIO_OP)+Escenarios_v4!$B$8*G$9*(1+G_OPEX_TRATO2)^(A8-ANIO_OP)))+IF(A8=0,CAPEX*CAPEX0,IF(A8=1,CAPEX*CAPEX1,IF(A8=ANIO_REP,COSTO_REP,0)))*(-1)+IF(A8=HORIZONTE,VALOR_TERRENO,0))</f>
        <v/>
      </c>
      <c r="C8">
        <f>IF(A8&lt;ANIO_OP,0,(Escenarios_v4!$B$2*H$3*(1+G_H2)^(A8-ANIO_OP)+Escenarios_v4!$B$3*H$4*(1+G_O2)^(A8-ANIO_OP)+Escenarios_v4!$B$4*H$5*(1+G_FV)^(A8-ANIO_OP)+Escenarios_v4!$B$5*H$6*(1+G_EV)^(A8-ANIO_OP))-(Escenarios_v4!$B$6*H$7*(1+G_OPEX_BASE)^(A8-ANIO_OP)+Escenarios_v4!$B$7*H$8*(1+G_OPEX_LOGH2)^(A8-ANIO_OP)+Escenarios_v4!$B$8*H$9*(1+G_OPEX_TRATO2)^(A8-ANIO_OP)))+IF(A8=0,CAPEX*CAPEX0,IF(A8=1,CAPEX*CAPEX1,IF(A8=ANIO_REP,COSTO_REP,0)))*(-1)+IF(A8=HORIZONTE,VALOR_TERRENO,0))</f>
        <v/>
      </c>
      <c r="D8">
        <f>IF(A8&lt;ANIO_OP,0,(Escenarios_v4!$B$2*I$3*(1+G_H2)^(A8-ANIO_OP)+Escenarios_v4!$B$3*I$4*(1+G_O2)^(A8-ANIO_OP)+Escenarios_v4!$B$4*I$5*(1+G_FV)^(A8-ANIO_OP)+Escenarios_v4!$B$5*I$6*(1+G_EV)^(A8-ANIO_OP))-(Escenarios_v4!$B$6*I$7*(1+G_OPEX_BASE)^(A8-ANIO_OP)+Escenarios_v4!$B$7*I$8*(1+G_OPEX_LOGH2)^(A8-ANIO_OP)+Escenarios_v4!$B$8*I$9*(1+G_OPEX_TRATO2)^(A8-ANIO_OP)))+IF(A8=0,CAPEX*CAPEX0,IF(A8=1,CAPEX*CAPEX1,IF(A8=ANIO_REP,COSTO_REP,0)))*(-1)+IF(A8=HORIZONTE,VALOR_TERRENO,0))</f>
        <v/>
      </c>
      <c r="G8">
        <f>INDEX(Escenarios_v4!$B$13:$H$15, MATCH($G$2,Escenarios_v4!$A$13:$A$15,0), 7)</f>
        <v/>
      </c>
      <c r="H8" t="n">
        <v>1</v>
      </c>
      <c r="I8">
        <f>INDEX(Escenarios_v4!$B$13:$H$15, MATCH($I$2,Escenarios_v4!$A$13:$A$15,0), 7)</f>
        <v/>
      </c>
    </row>
    <row r="9">
      <c r="A9" t="n">
        <v>6</v>
      </c>
      <c r="B9">
        <f>IF(A9&lt;ANIO_OP,0,(Escenarios_v4!$B$2*G$3*(1+G_H2)^(A9-ANIO_OP)+Escenarios_v4!$B$3*G$4*(1+G_O2)^(A9-ANIO_OP)+Escenarios_v4!$B$4*G$5*(1+G_FV)^(A9-ANIO_OP)+Escenarios_v4!$B$5*G$6*(1+G_EV)^(A9-ANIO_OP))-(Escenarios_v4!$B$6*G$7*(1+G_OPEX_BASE)^(A9-ANIO_OP)+Escenarios_v4!$B$7*G$8*(1+G_OPEX_LOGH2)^(A9-ANIO_OP)+Escenarios_v4!$B$8*G$9*(1+G_OPEX_TRATO2)^(A9-ANIO_OP)))+IF(A9=0,CAPEX*CAPEX0,IF(A9=1,CAPEX*CAPEX1,IF(A9=ANIO_REP,COSTO_REP,0)))*(-1)+IF(A9=HORIZONTE,VALOR_TERRENO,0))</f>
        <v/>
      </c>
      <c r="C9">
        <f>IF(A9&lt;ANIO_OP,0,(Escenarios_v4!$B$2*H$3*(1+G_H2)^(A9-ANIO_OP)+Escenarios_v4!$B$3*H$4*(1+G_O2)^(A9-ANIO_OP)+Escenarios_v4!$B$4*H$5*(1+G_FV)^(A9-ANIO_OP)+Escenarios_v4!$B$5*H$6*(1+G_EV)^(A9-ANIO_OP))-(Escenarios_v4!$B$6*H$7*(1+G_OPEX_BASE)^(A9-ANIO_OP)+Escenarios_v4!$B$7*H$8*(1+G_OPEX_LOGH2)^(A9-ANIO_OP)+Escenarios_v4!$B$8*H$9*(1+G_OPEX_TRATO2)^(A9-ANIO_OP)))+IF(A9=0,CAPEX*CAPEX0,IF(A9=1,CAPEX*CAPEX1,IF(A9=ANIO_REP,COSTO_REP,0)))*(-1)+IF(A9=HORIZONTE,VALOR_TERRENO,0))</f>
        <v/>
      </c>
      <c r="D9">
        <f>IF(A9&lt;ANIO_OP,0,(Escenarios_v4!$B$2*I$3*(1+G_H2)^(A9-ANIO_OP)+Escenarios_v4!$B$3*I$4*(1+G_O2)^(A9-ANIO_OP)+Escenarios_v4!$B$4*I$5*(1+G_FV)^(A9-ANIO_OP)+Escenarios_v4!$B$5*I$6*(1+G_EV)^(A9-ANIO_OP))-(Escenarios_v4!$B$6*I$7*(1+G_OPEX_BASE)^(A9-ANIO_OP)+Escenarios_v4!$B$7*I$8*(1+G_OPEX_LOGH2)^(A9-ANIO_OP)+Escenarios_v4!$B$8*I$9*(1+G_OPEX_TRATO2)^(A9-ANIO_OP)))+IF(A9=0,CAPEX*CAPEX0,IF(A9=1,CAPEX*CAPEX1,IF(A9=ANIO_REP,COSTO_REP,0)))*(-1)+IF(A9=HORIZONTE,VALOR_TERRENO,0))</f>
        <v/>
      </c>
      <c r="G9">
        <f>INDEX(Escenarios_v4!$B$13:$H$15, MATCH($G$2,Escenarios_v4!$A$13:$A$15,0), 8)</f>
        <v/>
      </c>
      <c r="H9" t="n">
        <v>1</v>
      </c>
      <c r="I9">
        <f>INDEX(Escenarios_v4!$B$13:$H$15, MATCH($I$2,Escenarios_v4!$A$13:$A$15,0), 8)</f>
        <v/>
      </c>
    </row>
    <row r="10">
      <c r="A10" t="n">
        <v>7</v>
      </c>
      <c r="B10">
        <f>IF(A10&lt;ANIO_OP,0,(Escenarios_v4!$B$2*G$3*(1+G_H2)^(A10-ANIO_OP)+Escenarios_v4!$B$3*G$4*(1+G_O2)^(A10-ANIO_OP)+Escenarios_v4!$B$4*G$5*(1+G_FV)^(A10-ANIO_OP)+Escenarios_v4!$B$5*G$6*(1+G_EV)^(A10-ANIO_OP))-(Escenarios_v4!$B$6*G$7*(1+G_OPEX_BASE)^(A10-ANIO_OP)+Escenarios_v4!$B$7*G$8*(1+G_OPEX_LOGH2)^(A10-ANIO_OP)+Escenarios_v4!$B$8*G$9*(1+G_OPEX_TRATO2)^(A10-ANIO_OP)))+IF(A10=0,CAPEX*CAPEX0,IF(A10=1,CAPEX*CAPEX1,IF(A10=ANIO_REP,COSTO_REP,0)))*(-1)+IF(A10=HORIZONTE,VALOR_TERRENO,0))</f>
        <v/>
      </c>
      <c r="C10">
        <f>IF(A10&lt;ANIO_OP,0,(Escenarios_v4!$B$2*H$3*(1+G_H2)^(A10-ANIO_OP)+Escenarios_v4!$B$3*H$4*(1+G_O2)^(A10-ANIO_OP)+Escenarios_v4!$B$4*H$5*(1+G_FV)^(A10-ANIO_OP)+Escenarios_v4!$B$5*H$6*(1+G_EV)^(A10-ANIO_OP))-(Escenarios_v4!$B$6*H$7*(1+G_OPEX_BASE)^(A10-ANIO_OP)+Escenarios_v4!$B$7*H$8*(1+G_OPEX_LOGH2)^(A10-ANIO_OP)+Escenarios_v4!$B$8*H$9*(1+G_OPEX_TRATO2)^(A10-ANIO_OP)))+IF(A10=0,CAPEX*CAPEX0,IF(A10=1,CAPEX*CAPEX1,IF(A10=ANIO_REP,COSTO_REP,0)))*(-1)+IF(A10=HORIZONTE,VALOR_TERRENO,0))</f>
        <v/>
      </c>
      <c r="D10">
        <f>IF(A10&lt;ANIO_OP,0,(Escenarios_v4!$B$2*I$3*(1+G_H2)^(A10-ANIO_OP)+Escenarios_v4!$B$3*I$4*(1+G_O2)^(A10-ANIO_OP)+Escenarios_v4!$B$4*I$5*(1+G_FV)^(A10-ANIO_OP)+Escenarios_v4!$B$5*I$6*(1+G_EV)^(A10-ANIO_OP))-(Escenarios_v4!$B$6*I$7*(1+G_OPEX_BASE)^(A10-ANIO_OP)+Escenarios_v4!$B$7*I$8*(1+G_OPEX_LOGH2)^(A10-ANIO_OP)+Escenarios_v4!$B$8*I$9*(1+G_OPEX_TRATO2)^(A10-ANIO_OP)))+IF(A10=0,CAPEX*CAPEX0,IF(A10=1,CAPEX*CAPEX1,IF(A10=ANIO_REP,COSTO_REP,0)))*(-1)+IF(A10=HORIZONTE,VALOR_TERRENO,0))</f>
        <v/>
      </c>
    </row>
    <row r="11">
      <c r="A11" t="n">
        <v>8</v>
      </c>
      <c r="B11">
        <f>IF(A11&lt;ANIO_OP,0,(Escenarios_v4!$B$2*G$3*(1+G_H2)^(A11-ANIO_OP)+Escenarios_v4!$B$3*G$4*(1+G_O2)^(A11-ANIO_OP)+Escenarios_v4!$B$4*G$5*(1+G_FV)^(A11-ANIO_OP)+Escenarios_v4!$B$5*G$6*(1+G_EV)^(A11-ANIO_OP))-(Escenarios_v4!$B$6*G$7*(1+G_OPEX_BASE)^(A11-ANIO_OP)+Escenarios_v4!$B$7*G$8*(1+G_OPEX_LOGH2)^(A11-ANIO_OP)+Escenarios_v4!$B$8*G$9*(1+G_OPEX_TRATO2)^(A11-ANIO_OP)))+IF(A11=0,CAPEX*CAPEX0,IF(A11=1,CAPEX*CAPEX1,IF(A11=ANIO_REP,COSTO_REP,0)))*(-1)+IF(A11=HORIZONTE,VALOR_TERRENO,0))</f>
        <v/>
      </c>
      <c r="C11">
        <f>IF(A11&lt;ANIO_OP,0,(Escenarios_v4!$B$2*H$3*(1+G_H2)^(A11-ANIO_OP)+Escenarios_v4!$B$3*H$4*(1+G_O2)^(A11-ANIO_OP)+Escenarios_v4!$B$4*H$5*(1+G_FV)^(A11-ANIO_OP)+Escenarios_v4!$B$5*H$6*(1+G_EV)^(A11-ANIO_OP))-(Escenarios_v4!$B$6*H$7*(1+G_OPEX_BASE)^(A11-ANIO_OP)+Escenarios_v4!$B$7*H$8*(1+G_OPEX_LOGH2)^(A11-ANIO_OP)+Escenarios_v4!$B$8*H$9*(1+G_OPEX_TRATO2)^(A11-ANIO_OP)))+IF(A11=0,CAPEX*CAPEX0,IF(A11=1,CAPEX*CAPEX1,IF(A11=ANIO_REP,COSTO_REP,0)))*(-1)+IF(A11=HORIZONTE,VALOR_TERRENO,0))</f>
        <v/>
      </c>
      <c r="D11">
        <f>IF(A11&lt;ANIO_OP,0,(Escenarios_v4!$B$2*I$3*(1+G_H2)^(A11-ANIO_OP)+Escenarios_v4!$B$3*I$4*(1+G_O2)^(A11-ANIO_OP)+Escenarios_v4!$B$4*I$5*(1+G_FV)^(A11-ANIO_OP)+Escenarios_v4!$B$5*I$6*(1+G_EV)^(A11-ANIO_OP))-(Escenarios_v4!$B$6*I$7*(1+G_OPEX_BASE)^(A11-ANIO_OP)+Escenarios_v4!$B$7*I$8*(1+G_OPEX_LOGH2)^(A11-ANIO_OP)+Escenarios_v4!$B$8*I$9*(1+G_OPEX_TRATO2)^(A11-ANIO_OP)))+IF(A11=0,CAPEX*CAPEX0,IF(A11=1,CAPEX*CAPEX1,IF(A11=ANIO_REP,COSTO_REP,0)))*(-1)+IF(A11=HORIZONTE,VALOR_TERRENO,0))</f>
        <v/>
      </c>
    </row>
    <row r="12">
      <c r="A12" t="n">
        <v>9</v>
      </c>
      <c r="B12">
        <f>IF(A12&lt;ANIO_OP,0,(Escenarios_v4!$B$2*G$3*(1+G_H2)^(A12-ANIO_OP)+Escenarios_v4!$B$3*G$4*(1+G_O2)^(A12-ANIO_OP)+Escenarios_v4!$B$4*G$5*(1+G_FV)^(A12-ANIO_OP)+Escenarios_v4!$B$5*G$6*(1+G_EV)^(A12-ANIO_OP))-(Escenarios_v4!$B$6*G$7*(1+G_OPEX_BASE)^(A12-ANIO_OP)+Escenarios_v4!$B$7*G$8*(1+G_OPEX_LOGH2)^(A12-ANIO_OP)+Escenarios_v4!$B$8*G$9*(1+G_OPEX_TRATO2)^(A12-ANIO_OP)))+IF(A12=0,CAPEX*CAPEX0,IF(A12=1,CAPEX*CAPEX1,IF(A12=ANIO_REP,COSTO_REP,0)))*(-1)+IF(A12=HORIZONTE,VALOR_TERRENO,0))</f>
        <v/>
      </c>
      <c r="C12">
        <f>IF(A12&lt;ANIO_OP,0,(Escenarios_v4!$B$2*H$3*(1+G_H2)^(A12-ANIO_OP)+Escenarios_v4!$B$3*H$4*(1+G_O2)^(A12-ANIO_OP)+Escenarios_v4!$B$4*H$5*(1+G_FV)^(A12-ANIO_OP)+Escenarios_v4!$B$5*H$6*(1+G_EV)^(A12-ANIO_OP))-(Escenarios_v4!$B$6*H$7*(1+G_OPEX_BASE)^(A12-ANIO_OP)+Escenarios_v4!$B$7*H$8*(1+G_OPEX_LOGH2)^(A12-ANIO_OP)+Escenarios_v4!$B$8*H$9*(1+G_OPEX_TRATO2)^(A12-ANIO_OP)))+IF(A12=0,CAPEX*CAPEX0,IF(A12=1,CAPEX*CAPEX1,IF(A12=ANIO_REP,COSTO_REP,0)))*(-1)+IF(A12=HORIZONTE,VALOR_TERRENO,0))</f>
        <v/>
      </c>
      <c r="D12">
        <f>IF(A12&lt;ANIO_OP,0,(Escenarios_v4!$B$2*I$3*(1+G_H2)^(A12-ANIO_OP)+Escenarios_v4!$B$3*I$4*(1+G_O2)^(A12-ANIO_OP)+Escenarios_v4!$B$4*I$5*(1+G_FV)^(A12-ANIO_OP)+Escenarios_v4!$B$5*I$6*(1+G_EV)^(A12-ANIO_OP))-(Escenarios_v4!$B$6*I$7*(1+G_OPEX_BASE)^(A12-ANIO_OP)+Escenarios_v4!$B$7*I$8*(1+G_OPEX_LOGH2)^(A12-ANIO_OP)+Escenarios_v4!$B$8*I$9*(1+G_OPEX_TRATO2)^(A12-ANIO_OP)))+IF(A12=0,CAPEX*CAPEX0,IF(A12=1,CAPEX*CAPEX1,IF(A12=ANIO_REP,COSTO_REP,0)))*(-1)+IF(A12=HORIZONTE,VALOR_TERRENO,0))</f>
        <v/>
      </c>
    </row>
    <row r="13">
      <c r="A13" t="n">
        <v>10</v>
      </c>
      <c r="B13">
        <f>IF(A13&lt;ANIO_OP,0,(Escenarios_v4!$B$2*G$3*(1+G_H2)^(A13-ANIO_OP)+Escenarios_v4!$B$3*G$4*(1+G_O2)^(A13-ANIO_OP)+Escenarios_v4!$B$4*G$5*(1+G_FV)^(A13-ANIO_OP)+Escenarios_v4!$B$5*G$6*(1+G_EV)^(A13-ANIO_OP))-(Escenarios_v4!$B$6*G$7*(1+G_OPEX_BASE)^(A13-ANIO_OP)+Escenarios_v4!$B$7*G$8*(1+G_OPEX_LOGH2)^(A13-ANIO_OP)+Escenarios_v4!$B$8*G$9*(1+G_OPEX_TRATO2)^(A13-ANIO_OP)))+IF(A13=0,CAPEX*CAPEX0,IF(A13=1,CAPEX*CAPEX1,IF(A13=ANIO_REP,COSTO_REP,0)))*(-1)+IF(A13=HORIZONTE,VALOR_TERRENO,0))</f>
        <v/>
      </c>
      <c r="C13">
        <f>IF(A13&lt;ANIO_OP,0,(Escenarios_v4!$B$2*H$3*(1+G_H2)^(A13-ANIO_OP)+Escenarios_v4!$B$3*H$4*(1+G_O2)^(A13-ANIO_OP)+Escenarios_v4!$B$4*H$5*(1+G_FV)^(A13-ANIO_OP)+Escenarios_v4!$B$5*H$6*(1+G_EV)^(A13-ANIO_OP))-(Escenarios_v4!$B$6*H$7*(1+G_OPEX_BASE)^(A13-ANIO_OP)+Escenarios_v4!$B$7*H$8*(1+G_OPEX_LOGH2)^(A13-ANIO_OP)+Escenarios_v4!$B$8*H$9*(1+G_OPEX_TRATO2)^(A13-ANIO_OP)))+IF(A13=0,CAPEX*CAPEX0,IF(A13=1,CAPEX*CAPEX1,IF(A13=ANIO_REP,COSTO_REP,0)))*(-1)+IF(A13=HORIZONTE,VALOR_TERRENO,0))</f>
        <v/>
      </c>
      <c r="D13">
        <f>IF(A13&lt;ANIO_OP,0,(Escenarios_v4!$B$2*I$3*(1+G_H2)^(A13-ANIO_OP)+Escenarios_v4!$B$3*I$4*(1+G_O2)^(A13-ANIO_OP)+Escenarios_v4!$B$4*I$5*(1+G_FV)^(A13-ANIO_OP)+Escenarios_v4!$B$5*I$6*(1+G_EV)^(A13-ANIO_OP))-(Escenarios_v4!$B$6*I$7*(1+G_OPEX_BASE)^(A13-ANIO_OP)+Escenarios_v4!$B$7*I$8*(1+G_OPEX_LOGH2)^(A13-ANIO_OP)+Escenarios_v4!$B$8*I$9*(1+G_OPEX_TRATO2)^(A13-ANIO_OP)))+IF(A13=0,CAPEX*CAPEX0,IF(A13=1,CAPEX*CAPEX1,IF(A13=ANIO_REP,COSTO_REP,0)))*(-1)+IF(A13=HORIZONTE,VALOR_TERRENO,0))</f>
        <v/>
      </c>
    </row>
    <row r="14">
      <c r="A14" t="n">
        <v>11</v>
      </c>
      <c r="B14">
        <f>IF(A14&lt;ANIO_OP,0,(Escenarios_v4!$B$2*G$3*(1+G_H2)^(A14-ANIO_OP)+Escenarios_v4!$B$3*G$4*(1+G_O2)^(A14-ANIO_OP)+Escenarios_v4!$B$4*G$5*(1+G_FV)^(A14-ANIO_OP)+Escenarios_v4!$B$5*G$6*(1+G_EV)^(A14-ANIO_OP))-(Escenarios_v4!$B$6*G$7*(1+G_OPEX_BASE)^(A14-ANIO_OP)+Escenarios_v4!$B$7*G$8*(1+G_OPEX_LOGH2)^(A14-ANIO_OP)+Escenarios_v4!$B$8*G$9*(1+G_OPEX_TRATO2)^(A14-ANIO_OP)))+IF(A14=0,CAPEX*CAPEX0,IF(A14=1,CAPEX*CAPEX1,IF(A14=ANIO_REP,COSTO_REP,0)))*(-1)+IF(A14=HORIZONTE,VALOR_TERRENO,0))</f>
        <v/>
      </c>
      <c r="C14">
        <f>IF(A14&lt;ANIO_OP,0,(Escenarios_v4!$B$2*H$3*(1+G_H2)^(A14-ANIO_OP)+Escenarios_v4!$B$3*H$4*(1+G_O2)^(A14-ANIO_OP)+Escenarios_v4!$B$4*H$5*(1+G_FV)^(A14-ANIO_OP)+Escenarios_v4!$B$5*H$6*(1+G_EV)^(A14-ANIO_OP))-(Escenarios_v4!$B$6*H$7*(1+G_OPEX_BASE)^(A14-ANIO_OP)+Escenarios_v4!$B$7*H$8*(1+G_OPEX_LOGH2)^(A14-ANIO_OP)+Escenarios_v4!$B$8*H$9*(1+G_OPEX_TRATO2)^(A14-ANIO_OP)))+IF(A14=0,CAPEX*CAPEX0,IF(A14=1,CAPEX*CAPEX1,IF(A14=ANIO_REP,COSTO_REP,0)))*(-1)+IF(A14=HORIZONTE,VALOR_TERRENO,0))</f>
        <v/>
      </c>
      <c r="D14">
        <f>IF(A14&lt;ANIO_OP,0,(Escenarios_v4!$B$2*I$3*(1+G_H2)^(A14-ANIO_OP)+Escenarios_v4!$B$3*I$4*(1+G_O2)^(A14-ANIO_OP)+Escenarios_v4!$B$4*I$5*(1+G_FV)^(A14-ANIO_OP)+Escenarios_v4!$B$5*I$6*(1+G_EV)^(A14-ANIO_OP))-(Escenarios_v4!$B$6*I$7*(1+G_OPEX_BASE)^(A14-ANIO_OP)+Escenarios_v4!$B$7*I$8*(1+G_OPEX_LOGH2)^(A14-ANIO_OP)+Escenarios_v4!$B$8*I$9*(1+G_OPEX_TRATO2)^(A14-ANIO_OP)))+IF(A14=0,CAPEX*CAPEX0,IF(A14=1,CAPEX*CAPEX1,IF(A14=ANIO_REP,COSTO_REP,0)))*(-1)+IF(A14=HORIZONTE,VALOR_TERRENO,0))</f>
        <v/>
      </c>
    </row>
    <row r="15">
      <c r="A15" t="n">
        <v>12</v>
      </c>
      <c r="B15">
        <f>IF(A15&lt;ANIO_OP,0,(Escenarios_v4!$B$2*G$3*(1+G_H2)^(A15-ANIO_OP)+Escenarios_v4!$B$3*G$4*(1+G_O2)^(A15-ANIO_OP)+Escenarios_v4!$B$4*G$5*(1+G_FV)^(A15-ANIO_OP)+Escenarios_v4!$B$5*G$6*(1+G_EV)^(A15-ANIO_OP))-(Escenarios_v4!$B$6*G$7*(1+G_OPEX_BASE)^(A15-ANIO_OP)+Escenarios_v4!$B$7*G$8*(1+G_OPEX_LOGH2)^(A15-ANIO_OP)+Escenarios_v4!$B$8*G$9*(1+G_OPEX_TRATO2)^(A15-ANIO_OP)))+IF(A15=0,CAPEX*CAPEX0,IF(A15=1,CAPEX*CAPEX1,IF(A15=ANIO_REP,COSTO_REP,0)))*(-1)+IF(A15=HORIZONTE,VALOR_TERRENO,0))</f>
        <v/>
      </c>
      <c r="C15">
        <f>IF(A15&lt;ANIO_OP,0,(Escenarios_v4!$B$2*H$3*(1+G_H2)^(A15-ANIO_OP)+Escenarios_v4!$B$3*H$4*(1+G_O2)^(A15-ANIO_OP)+Escenarios_v4!$B$4*H$5*(1+G_FV)^(A15-ANIO_OP)+Escenarios_v4!$B$5*H$6*(1+G_EV)^(A15-ANIO_OP))-(Escenarios_v4!$B$6*H$7*(1+G_OPEX_BASE)^(A15-ANIO_OP)+Escenarios_v4!$B$7*H$8*(1+G_OPEX_LOGH2)^(A15-ANIO_OP)+Escenarios_v4!$B$8*H$9*(1+G_OPEX_TRATO2)^(A15-ANIO_OP)))+IF(A15=0,CAPEX*CAPEX0,IF(A15=1,CAPEX*CAPEX1,IF(A15=ANIO_REP,COSTO_REP,0)))*(-1)+IF(A15=HORIZONTE,VALOR_TERRENO,0))</f>
        <v/>
      </c>
      <c r="D15">
        <f>IF(A15&lt;ANIO_OP,0,(Escenarios_v4!$B$2*I$3*(1+G_H2)^(A15-ANIO_OP)+Escenarios_v4!$B$3*I$4*(1+G_O2)^(A15-ANIO_OP)+Escenarios_v4!$B$4*I$5*(1+G_FV)^(A15-ANIO_OP)+Escenarios_v4!$B$5*I$6*(1+G_EV)^(A15-ANIO_OP))-(Escenarios_v4!$B$6*I$7*(1+G_OPEX_BASE)^(A15-ANIO_OP)+Escenarios_v4!$B$7*I$8*(1+G_OPEX_LOGH2)^(A15-ANIO_OP)+Escenarios_v4!$B$8*I$9*(1+G_OPEX_TRATO2)^(A15-ANIO_OP)))+IF(A15=0,CAPEX*CAPEX0,IF(A15=1,CAPEX*CAPEX1,IF(A15=ANIO_REP,COSTO_REP,0)))*(-1)+IF(A15=HORIZONTE,VALOR_TERRENO,0))</f>
        <v/>
      </c>
    </row>
    <row r="16">
      <c r="A16" t="n">
        <v>13</v>
      </c>
      <c r="B16">
        <f>IF(A16&lt;ANIO_OP,0,(Escenarios_v4!$B$2*G$3*(1+G_H2)^(A16-ANIO_OP)+Escenarios_v4!$B$3*G$4*(1+G_O2)^(A16-ANIO_OP)+Escenarios_v4!$B$4*G$5*(1+G_FV)^(A16-ANIO_OP)+Escenarios_v4!$B$5*G$6*(1+G_EV)^(A16-ANIO_OP))-(Escenarios_v4!$B$6*G$7*(1+G_OPEX_BASE)^(A16-ANIO_OP)+Escenarios_v4!$B$7*G$8*(1+G_OPEX_LOGH2)^(A16-ANIO_OP)+Escenarios_v4!$B$8*G$9*(1+G_OPEX_TRATO2)^(A16-ANIO_OP)))+IF(A16=0,CAPEX*CAPEX0,IF(A16=1,CAPEX*CAPEX1,IF(A16=ANIO_REP,COSTO_REP,0)))*(-1)+IF(A16=HORIZONTE,VALOR_TERRENO,0))</f>
        <v/>
      </c>
      <c r="C16">
        <f>IF(A16&lt;ANIO_OP,0,(Escenarios_v4!$B$2*H$3*(1+G_H2)^(A16-ANIO_OP)+Escenarios_v4!$B$3*H$4*(1+G_O2)^(A16-ANIO_OP)+Escenarios_v4!$B$4*H$5*(1+G_FV)^(A16-ANIO_OP)+Escenarios_v4!$B$5*H$6*(1+G_EV)^(A16-ANIO_OP))-(Escenarios_v4!$B$6*H$7*(1+G_OPEX_BASE)^(A16-ANIO_OP)+Escenarios_v4!$B$7*H$8*(1+G_OPEX_LOGH2)^(A16-ANIO_OP)+Escenarios_v4!$B$8*H$9*(1+G_OPEX_TRATO2)^(A16-ANIO_OP)))+IF(A16=0,CAPEX*CAPEX0,IF(A16=1,CAPEX*CAPEX1,IF(A16=ANIO_REP,COSTO_REP,0)))*(-1)+IF(A16=HORIZONTE,VALOR_TERRENO,0))</f>
        <v/>
      </c>
      <c r="D16">
        <f>IF(A16&lt;ANIO_OP,0,(Escenarios_v4!$B$2*I$3*(1+G_H2)^(A16-ANIO_OP)+Escenarios_v4!$B$3*I$4*(1+G_O2)^(A16-ANIO_OP)+Escenarios_v4!$B$4*I$5*(1+G_FV)^(A16-ANIO_OP)+Escenarios_v4!$B$5*I$6*(1+G_EV)^(A16-ANIO_OP))-(Escenarios_v4!$B$6*I$7*(1+G_OPEX_BASE)^(A16-ANIO_OP)+Escenarios_v4!$B$7*I$8*(1+G_OPEX_LOGH2)^(A16-ANIO_OP)+Escenarios_v4!$B$8*I$9*(1+G_OPEX_TRATO2)^(A16-ANIO_OP)))+IF(A16=0,CAPEX*CAPEX0,IF(A16=1,CAPEX*CAPEX1,IF(A16=ANIO_REP,COSTO_REP,0)))*(-1)+IF(A16=HORIZONTE,VALOR_TERRENO,0))</f>
        <v/>
      </c>
    </row>
    <row r="17">
      <c r="A17" t="n">
        <v>14</v>
      </c>
      <c r="B17">
        <f>IF(A17&lt;ANIO_OP,0,(Escenarios_v4!$B$2*G$3*(1+G_H2)^(A17-ANIO_OP)+Escenarios_v4!$B$3*G$4*(1+G_O2)^(A17-ANIO_OP)+Escenarios_v4!$B$4*G$5*(1+G_FV)^(A17-ANIO_OP)+Escenarios_v4!$B$5*G$6*(1+G_EV)^(A17-ANIO_OP))-(Escenarios_v4!$B$6*G$7*(1+G_OPEX_BASE)^(A17-ANIO_OP)+Escenarios_v4!$B$7*G$8*(1+G_OPEX_LOGH2)^(A17-ANIO_OP)+Escenarios_v4!$B$8*G$9*(1+G_OPEX_TRATO2)^(A17-ANIO_OP)))+IF(A17=0,CAPEX*CAPEX0,IF(A17=1,CAPEX*CAPEX1,IF(A17=ANIO_REP,COSTO_REP,0)))*(-1)+IF(A17=HORIZONTE,VALOR_TERRENO,0))</f>
        <v/>
      </c>
      <c r="C17">
        <f>IF(A17&lt;ANIO_OP,0,(Escenarios_v4!$B$2*H$3*(1+G_H2)^(A17-ANIO_OP)+Escenarios_v4!$B$3*H$4*(1+G_O2)^(A17-ANIO_OP)+Escenarios_v4!$B$4*H$5*(1+G_FV)^(A17-ANIO_OP)+Escenarios_v4!$B$5*H$6*(1+G_EV)^(A17-ANIO_OP))-(Escenarios_v4!$B$6*H$7*(1+G_OPEX_BASE)^(A17-ANIO_OP)+Escenarios_v4!$B$7*H$8*(1+G_OPEX_LOGH2)^(A17-ANIO_OP)+Escenarios_v4!$B$8*H$9*(1+G_OPEX_TRATO2)^(A17-ANIO_OP)))+IF(A17=0,CAPEX*CAPEX0,IF(A17=1,CAPEX*CAPEX1,IF(A17=ANIO_REP,COSTO_REP,0)))*(-1)+IF(A17=HORIZONTE,VALOR_TERRENO,0))</f>
        <v/>
      </c>
      <c r="D17">
        <f>IF(A17&lt;ANIO_OP,0,(Escenarios_v4!$B$2*I$3*(1+G_H2)^(A17-ANIO_OP)+Escenarios_v4!$B$3*I$4*(1+G_O2)^(A17-ANIO_OP)+Escenarios_v4!$B$4*I$5*(1+G_FV)^(A17-ANIO_OP)+Escenarios_v4!$B$5*I$6*(1+G_EV)^(A17-ANIO_OP))-(Escenarios_v4!$B$6*I$7*(1+G_OPEX_BASE)^(A17-ANIO_OP)+Escenarios_v4!$B$7*I$8*(1+G_OPEX_LOGH2)^(A17-ANIO_OP)+Escenarios_v4!$B$8*I$9*(1+G_OPEX_TRATO2)^(A17-ANIO_OP)))+IF(A17=0,CAPEX*CAPEX0,IF(A17=1,CAPEX*CAPEX1,IF(A17=ANIO_REP,COSTO_REP,0)))*(-1)+IF(A17=HORIZONTE,VALOR_TERRENO,0))</f>
        <v/>
      </c>
    </row>
    <row r="18">
      <c r="A18" t="n">
        <v>15</v>
      </c>
      <c r="B18">
        <f>IF(A18&lt;ANIO_OP,0,(Escenarios_v4!$B$2*G$3*(1+G_H2)^(A18-ANIO_OP)+Escenarios_v4!$B$3*G$4*(1+G_O2)^(A18-ANIO_OP)+Escenarios_v4!$B$4*G$5*(1+G_FV)^(A18-ANIO_OP)+Escenarios_v4!$B$5*G$6*(1+G_EV)^(A18-ANIO_OP))-(Escenarios_v4!$B$6*G$7*(1+G_OPEX_BASE)^(A18-ANIO_OP)+Escenarios_v4!$B$7*G$8*(1+G_OPEX_LOGH2)^(A18-ANIO_OP)+Escenarios_v4!$B$8*G$9*(1+G_OPEX_TRATO2)^(A18-ANIO_OP)))+IF(A18=0,CAPEX*CAPEX0,IF(A18=1,CAPEX*CAPEX1,IF(A18=ANIO_REP,COSTO_REP,0)))*(-1)+IF(A18=HORIZONTE,VALOR_TERRENO,0))</f>
        <v/>
      </c>
      <c r="C18">
        <f>IF(A18&lt;ANIO_OP,0,(Escenarios_v4!$B$2*H$3*(1+G_H2)^(A18-ANIO_OP)+Escenarios_v4!$B$3*H$4*(1+G_O2)^(A18-ANIO_OP)+Escenarios_v4!$B$4*H$5*(1+G_FV)^(A18-ANIO_OP)+Escenarios_v4!$B$5*H$6*(1+G_EV)^(A18-ANIO_OP))-(Escenarios_v4!$B$6*H$7*(1+G_OPEX_BASE)^(A18-ANIO_OP)+Escenarios_v4!$B$7*H$8*(1+G_OPEX_LOGH2)^(A18-ANIO_OP)+Escenarios_v4!$B$8*H$9*(1+G_OPEX_TRATO2)^(A18-ANIO_OP)))+IF(A18=0,CAPEX*CAPEX0,IF(A18=1,CAPEX*CAPEX1,IF(A18=ANIO_REP,COSTO_REP,0)))*(-1)+IF(A18=HORIZONTE,VALOR_TERRENO,0))</f>
        <v/>
      </c>
      <c r="D18">
        <f>IF(A18&lt;ANIO_OP,0,(Escenarios_v4!$B$2*I$3*(1+G_H2)^(A18-ANIO_OP)+Escenarios_v4!$B$3*I$4*(1+G_O2)^(A18-ANIO_OP)+Escenarios_v4!$B$4*I$5*(1+G_FV)^(A18-ANIO_OP)+Escenarios_v4!$B$5*I$6*(1+G_EV)^(A18-ANIO_OP))-(Escenarios_v4!$B$6*I$7*(1+G_OPEX_BASE)^(A18-ANIO_OP)+Escenarios_v4!$B$7*I$8*(1+G_OPEX_LOGH2)^(A18-ANIO_OP)+Escenarios_v4!$B$8*I$9*(1+G_OPEX_TRATO2)^(A18-ANIO_OP)))+IF(A18=0,CAPEX*CAPEX0,IF(A18=1,CAPEX*CAPEX1,IF(A18=ANIO_REP,COSTO_REP,0)))*(-1)+IF(A18=HORIZONTE,VALOR_TERRENO,0))</f>
        <v/>
      </c>
    </row>
    <row r="19">
      <c r="E19" s="1" t="inlineStr">
        <is>
          <t>Helper (desc &amp; cum)</t>
        </is>
      </c>
    </row>
    <row r="20">
      <c r="A20" s="1" t="inlineStr">
        <is>
          <t>KPIs por Escenario</t>
        </is>
      </c>
      <c r="E20" s="1" t="inlineStr">
        <is>
          <t>PI</t>
        </is>
      </c>
      <c r="F20" s="1" t="inlineStr">
        <is>
          <t>B_desc</t>
        </is>
      </c>
      <c r="G20" s="1" t="inlineStr">
        <is>
          <t>B_cum</t>
        </is>
      </c>
      <c r="H20" s="1" t="inlineStr">
        <is>
          <t>C_desc</t>
        </is>
      </c>
      <c r="I20" s="1" t="inlineStr">
        <is>
          <t>C_cum</t>
        </is>
      </c>
      <c r="J20" s="1" t="inlineStr">
        <is>
          <t>D_desc</t>
        </is>
      </c>
      <c r="K20" s="1" t="inlineStr">
        <is>
          <t>D_cum</t>
        </is>
      </c>
    </row>
    <row r="21">
      <c r="A21" t="inlineStr">
        <is>
          <t>Optimista</t>
        </is>
      </c>
      <c r="B21" s="4">
        <f>NPV(WACC, B4:B19) + B3</f>
        <v/>
      </c>
      <c r="C21" s="3">
        <f>IRR(B3:B19)</f>
        <v/>
      </c>
      <c r="D21" s="10">
        <f>MATCH(TRUE,INDEX(G21:G36&gt;=0,0),0)-1</f>
        <v/>
      </c>
      <c r="E21">
        <f>NPV(WACC,B4:B19)/ABS(B3)</f>
        <v/>
      </c>
      <c r="F21">
        <f>B4/(1+WACC)^E21</f>
        <v/>
      </c>
      <c r="G21">
        <f>IF(E21=0, F21, G20+F21)</f>
        <v/>
      </c>
      <c r="H21">
        <f>C4/(1+WACC)^E21</f>
        <v/>
      </c>
      <c r="I21">
        <f>IF(E21=0, H21, I20+H21)</f>
        <v/>
      </c>
      <c r="J21">
        <f>D4/(1+WACC)^E21</f>
        <v/>
      </c>
      <c r="K21">
        <f>IF(E21=0, J21, K20+J21)</f>
        <v/>
      </c>
    </row>
    <row r="22">
      <c r="A22" t="inlineStr">
        <is>
          <t>Base</t>
        </is>
      </c>
      <c r="B22" s="4">
        <f>NPV(WACC, C4:C19) + C3</f>
        <v/>
      </c>
      <c r="C22" s="3">
        <f>IRR(C3:C19)</f>
        <v/>
      </c>
      <c r="D22" s="10">
        <f>MATCH(TRUE,INDEX(I21:I36&gt;=0,0),0)-1</f>
        <v/>
      </c>
      <c r="E22">
        <f>NPV(WACC,C4:C19)/ABS(C3)</f>
        <v/>
      </c>
      <c r="F22">
        <f>B5/(1+WACC)^E22</f>
        <v/>
      </c>
      <c r="G22">
        <f>IF(E22=0, F22, G21+F22)</f>
        <v/>
      </c>
      <c r="H22">
        <f>C5/(1+WACC)^E22</f>
        <v/>
      </c>
      <c r="I22">
        <f>IF(E22=0, H22, I21+H22)</f>
        <v/>
      </c>
      <c r="J22">
        <f>D5/(1+WACC)^E22</f>
        <v/>
      </c>
      <c r="K22">
        <f>IF(E22=0, J22, K21+J22)</f>
        <v/>
      </c>
    </row>
    <row r="23">
      <c r="A23" t="inlineStr">
        <is>
          <t>Conservador</t>
        </is>
      </c>
      <c r="B23" s="4">
        <f>NPV(WACC, D4:D19) + D3</f>
        <v/>
      </c>
      <c r="C23" s="3">
        <f>IRR(D3:D19)</f>
        <v/>
      </c>
      <c r="D23" s="10">
        <f>MATCH(TRUE,INDEX(K21:K36&gt;=0,0),0)-1</f>
        <v/>
      </c>
      <c r="E23">
        <f>NPV(WACC,D4:D19)/ABS(D3)</f>
        <v/>
      </c>
      <c r="F23">
        <f>B6/(1+WACC)^E23</f>
        <v/>
      </c>
      <c r="G23">
        <f>IF(E23=0, F23, G22+F23)</f>
        <v/>
      </c>
      <c r="H23">
        <f>C6/(1+WACC)^E23</f>
        <v/>
      </c>
      <c r="I23">
        <f>IF(E23=0, H23, I22+H23)</f>
        <v/>
      </c>
      <c r="J23">
        <f>D6/(1+WACC)^E23</f>
        <v/>
      </c>
      <c r="K23">
        <f>IF(E23=0, J23, K22+J23)</f>
        <v/>
      </c>
    </row>
    <row r="24">
      <c r="E24" t="n">
        <v>3</v>
      </c>
      <c r="F24">
        <f>B7/(1+WACC)^E24</f>
        <v/>
      </c>
      <c r="G24">
        <f>IF(E24=0, F24, G23+F24)</f>
        <v/>
      </c>
      <c r="H24">
        <f>C7/(1+WACC)^E24</f>
        <v/>
      </c>
      <c r="I24">
        <f>IF(E24=0, H24, I23+H24)</f>
        <v/>
      </c>
      <c r="J24">
        <f>D7/(1+WACC)^E24</f>
        <v/>
      </c>
      <c r="K24">
        <f>IF(E24=0, J24, K23+J24)</f>
        <v/>
      </c>
    </row>
    <row r="25">
      <c r="E25" t="n">
        <v>4</v>
      </c>
      <c r="F25">
        <f>B8/(1+WACC)^E25</f>
        <v/>
      </c>
      <c r="G25">
        <f>IF(E25=0, F25, G24+F25)</f>
        <v/>
      </c>
      <c r="H25">
        <f>C8/(1+WACC)^E25</f>
        <v/>
      </c>
      <c r="I25">
        <f>IF(E25=0, H25, I24+H25)</f>
        <v/>
      </c>
      <c r="J25">
        <f>D8/(1+WACC)^E25</f>
        <v/>
      </c>
      <c r="K25">
        <f>IF(E25=0, J25, K24+J25)</f>
        <v/>
      </c>
    </row>
    <row r="26">
      <c r="E26" t="n">
        <v>5</v>
      </c>
      <c r="F26">
        <f>B9/(1+WACC)^E26</f>
        <v/>
      </c>
      <c r="G26">
        <f>IF(E26=0, F26, G25+F26)</f>
        <v/>
      </c>
      <c r="H26">
        <f>C9/(1+WACC)^E26</f>
        <v/>
      </c>
      <c r="I26">
        <f>IF(E26=0, H26, I25+H26)</f>
        <v/>
      </c>
      <c r="J26">
        <f>D9/(1+WACC)^E26</f>
        <v/>
      </c>
      <c r="K26">
        <f>IF(E26=0, J26, K25+J26)</f>
        <v/>
      </c>
    </row>
    <row r="27">
      <c r="E27" t="n">
        <v>6</v>
      </c>
      <c r="F27">
        <f>B10/(1+WACC)^E27</f>
        <v/>
      </c>
      <c r="G27">
        <f>IF(E27=0, F27, G26+F27)</f>
        <v/>
      </c>
      <c r="H27">
        <f>C10/(1+WACC)^E27</f>
        <v/>
      </c>
      <c r="I27">
        <f>IF(E27=0, H27, I26+H27)</f>
        <v/>
      </c>
      <c r="J27">
        <f>D10/(1+WACC)^E27</f>
        <v/>
      </c>
      <c r="K27">
        <f>IF(E27=0, J27, K26+J27)</f>
        <v/>
      </c>
    </row>
    <row r="28">
      <c r="E28" t="n">
        <v>7</v>
      </c>
      <c r="F28">
        <f>B11/(1+WACC)^E28</f>
        <v/>
      </c>
      <c r="G28">
        <f>IF(E28=0, F28, G27+F28)</f>
        <v/>
      </c>
      <c r="H28">
        <f>C11/(1+WACC)^E28</f>
        <v/>
      </c>
      <c r="I28">
        <f>IF(E28=0, H28, I27+H28)</f>
        <v/>
      </c>
      <c r="J28">
        <f>D11/(1+WACC)^E28</f>
        <v/>
      </c>
      <c r="K28">
        <f>IF(E28=0, J28, K27+J28)</f>
        <v/>
      </c>
    </row>
    <row r="29">
      <c r="E29" t="n">
        <v>8</v>
      </c>
      <c r="F29">
        <f>B12/(1+WACC)^E29</f>
        <v/>
      </c>
      <c r="G29">
        <f>IF(E29=0, F29, G28+F29)</f>
        <v/>
      </c>
      <c r="H29">
        <f>C12/(1+WACC)^E29</f>
        <v/>
      </c>
      <c r="I29">
        <f>IF(E29=0, H29, I28+H29)</f>
        <v/>
      </c>
      <c r="J29">
        <f>D12/(1+WACC)^E29</f>
        <v/>
      </c>
      <c r="K29">
        <f>IF(E29=0, J29, K28+J29)</f>
        <v/>
      </c>
    </row>
    <row r="30">
      <c r="E30" t="n">
        <v>9</v>
      </c>
      <c r="F30">
        <f>B13/(1+WACC)^E30</f>
        <v/>
      </c>
      <c r="G30">
        <f>IF(E30=0, F30, G29+F30)</f>
        <v/>
      </c>
      <c r="H30">
        <f>C13/(1+WACC)^E30</f>
        <v/>
      </c>
      <c r="I30">
        <f>IF(E30=0, H30, I29+H30)</f>
        <v/>
      </c>
      <c r="J30">
        <f>D13/(1+WACC)^E30</f>
        <v/>
      </c>
      <c r="K30">
        <f>IF(E30=0, J30, K29+J30)</f>
        <v/>
      </c>
    </row>
    <row r="31">
      <c r="E31" t="n">
        <v>10</v>
      </c>
      <c r="F31">
        <f>B14/(1+WACC)^E31</f>
        <v/>
      </c>
      <c r="G31">
        <f>IF(E31=0, F31, G30+F31)</f>
        <v/>
      </c>
      <c r="H31">
        <f>C14/(1+WACC)^E31</f>
        <v/>
      </c>
      <c r="I31">
        <f>IF(E31=0, H31, I30+H31)</f>
        <v/>
      </c>
      <c r="J31">
        <f>D14/(1+WACC)^E31</f>
        <v/>
      </c>
      <c r="K31">
        <f>IF(E31=0, J31, K30+J31)</f>
        <v/>
      </c>
    </row>
    <row r="32">
      <c r="E32" t="n">
        <v>11</v>
      </c>
      <c r="F32">
        <f>B15/(1+WACC)^E32</f>
        <v/>
      </c>
      <c r="G32">
        <f>IF(E32=0, F32, G31+F32)</f>
        <v/>
      </c>
      <c r="H32">
        <f>C15/(1+WACC)^E32</f>
        <v/>
      </c>
      <c r="I32">
        <f>IF(E32=0, H32, I31+H32)</f>
        <v/>
      </c>
      <c r="J32">
        <f>D15/(1+WACC)^E32</f>
        <v/>
      </c>
      <c r="K32">
        <f>IF(E32=0, J32, K31+J32)</f>
        <v/>
      </c>
    </row>
    <row r="33">
      <c r="E33" t="n">
        <v>12</v>
      </c>
      <c r="F33">
        <f>B16/(1+WACC)^E33</f>
        <v/>
      </c>
      <c r="G33">
        <f>IF(E33=0, F33, G32+F33)</f>
        <v/>
      </c>
      <c r="H33">
        <f>C16/(1+WACC)^E33</f>
        <v/>
      </c>
      <c r="I33">
        <f>IF(E33=0, H33, I32+H33)</f>
        <v/>
      </c>
      <c r="J33">
        <f>D16/(1+WACC)^E33</f>
        <v/>
      </c>
      <c r="K33">
        <f>IF(E33=0, J33, K32+J33)</f>
        <v/>
      </c>
    </row>
    <row r="34">
      <c r="E34" t="n">
        <v>13</v>
      </c>
      <c r="F34">
        <f>B17/(1+WACC)^E34</f>
        <v/>
      </c>
      <c r="G34">
        <f>IF(E34=0, F34, G33+F34)</f>
        <v/>
      </c>
      <c r="H34">
        <f>C17/(1+WACC)^E34</f>
        <v/>
      </c>
      <c r="I34">
        <f>IF(E34=0, H34, I33+H34)</f>
        <v/>
      </c>
      <c r="J34">
        <f>D17/(1+WACC)^E34</f>
        <v/>
      </c>
      <c r="K34">
        <f>IF(E34=0, J34, K33+J34)</f>
        <v/>
      </c>
    </row>
    <row r="35">
      <c r="E35" t="n">
        <v>14</v>
      </c>
      <c r="F35">
        <f>B18/(1+WACC)^E35</f>
        <v/>
      </c>
      <c r="G35">
        <f>IF(E35=0, F35, G34+F35)</f>
        <v/>
      </c>
      <c r="H35">
        <f>C18/(1+WACC)^E35</f>
        <v/>
      </c>
      <c r="I35">
        <f>IF(E35=0, H35, I34+H35)</f>
        <v/>
      </c>
      <c r="J35">
        <f>D18/(1+WACC)^E35</f>
        <v/>
      </c>
      <c r="K35">
        <f>IF(E35=0, J35, K34+J35)</f>
        <v/>
      </c>
    </row>
    <row r="36">
      <c r="E36" t="n">
        <v>15</v>
      </c>
      <c r="F36">
        <f>B19/(1+WACC)^E36</f>
        <v/>
      </c>
      <c r="G36">
        <f>IF(E36=0, F36, G35+F36)</f>
        <v/>
      </c>
      <c r="H36">
        <f>C19/(1+WACC)^E36</f>
        <v/>
      </c>
      <c r="I36">
        <f>IF(E36=0, H36, I35+H36)</f>
        <v/>
      </c>
      <c r="J36">
        <f>D19/(1+WACC)^E36</f>
        <v/>
      </c>
      <c r="K36">
        <f>IF(E36=0, J36, K35+J36)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1" t="inlineStr">
        <is>
          <t>Año</t>
        </is>
      </c>
      <c r="B1" s="11" t="inlineStr">
        <is>
          <t>H₂ (MXN)</t>
        </is>
      </c>
      <c r="C1" s="11" t="inlineStr">
        <is>
          <t>O₂ (MXN)</t>
        </is>
      </c>
      <c r="D1" s="11" t="inlineStr">
        <is>
          <t>FV/red (MXN)</t>
        </is>
      </c>
      <c r="E1" s="11" t="inlineStr">
        <is>
          <t>EV (MXN)</t>
        </is>
      </c>
      <c r="F1" s="11" t="inlineStr">
        <is>
          <t>Ingresos totales (MXN)</t>
        </is>
      </c>
      <c r="G1" s="11" t="inlineStr">
        <is>
          <t>OPEX Base</t>
        </is>
      </c>
      <c r="H1" s="11" t="inlineStr">
        <is>
          <t>OPEX Log H₂</t>
        </is>
      </c>
      <c r="I1" s="11" t="inlineStr">
        <is>
          <t>OPEX Trat O₂</t>
        </is>
      </c>
      <c r="J1" s="11" t="inlineStr">
        <is>
          <t>OPEX Total</t>
        </is>
      </c>
      <c r="K1" s="11" t="inlineStr">
        <is>
          <t>CAPEX/Reemplazos</t>
        </is>
      </c>
      <c r="L1" s="11" t="inlineStr">
        <is>
          <t>Valor residual</t>
        </is>
      </c>
      <c r="M1" s="11" t="inlineStr">
        <is>
          <t>Flujo neto</t>
        </is>
      </c>
      <c r="N1" s="11" t="inlineStr">
        <is>
          <t>VAN acumulado</t>
        </is>
      </c>
      <c r="O1" s="11" t="inlineStr">
        <is>
          <t>Liquidez final</t>
        </is>
      </c>
      <c r="P1" s="11" t="inlineStr">
        <is>
          <t>Deuda acumulada</t>
        </is>
      </c>
    </row>
    <row r="2">
      <c r="A2" t="n">
        <v>0</v>
      </c>
      <c r="B2" s="4">
        <f>Flujo_Base!B2</f>
        <v/>
      </c>
      <c r="C2" s="4">
        <f>Flujo_Base!C2</f>
        <v/>
      </c>
      <c r="D2" s="4">
        <f>Flujo_Base!D2</f>
        <v/>
      </c>
      <c r="E2" s="4">
        <f>Flujo_Base!E2</f>
        <v/>
      </c>
      <c r="F2" s="4">
        <f>Flujo_Base!F2</f>
        <v/>
      </c>
      <c r="G2" s="4">
        <f>Flujo_Base!G2</f>
        <v/>
      </c>
      <c r="H2" s="4">
        <f>Flujo_Base!H2</f>
        <v/>
      </c>
      <c r="I2" s="4">
        <f>Flujo_Base!I2</f>
        <v/>
      </c>
      <c r="J2" s="4">
        <f>Flujo_Base!J2</f>
        <v/>
      </c>
      <c r="K2" s="4">
        <f>Flujo_Base!K2</f>
        <v/>
      </c>
      <c r="L2" s="4">
        <f>Flujo_Base!L2</f>
        <v/>
      </c>
      <c r="M2" s="4">
        <f>Flujo_Base!M2</f>
        <v/>
      </c>
      <c r="N2" s="4">
        <f>Flujo_Base!P2</f>
        <v/>
      </c>
      <c r="O2" s="4">
        <f>Optimizacion_Flujo!I2</f>
        <v/>
      </c>
      <c r="P2" s="4">
        <f>Optimizacion_Flujo!J2</f>
        <v/>
      </c>
    </row>
    <row r="3">
      <c r="A3" t="n">
        <v>1</v>
      </c>
      <c r="B3" s="4">
        <f>Flujo_Base!B3</f>
        <v/>
      </c>
      <c r="C3" s="4">
        <f>Flujo_Base!C3</f>
        <v/>
      </c>
      <c r="D3" s="4">
        <f>Flujo_Base!D3</f>
        <v/>
      </c>
      <c r="E3" s="4">
        <f>Flujo_Base!E3</f>
        <v/>
      </c>
      <c r="F3" s="4">
        <f>Flujo_Base!F3</f>
        <v/>
      </c>
      <c r="G3" s="4">
        <f>Flujo_Base!G3</f>
        <v/>
      </c>
      <c r="H3" s="4">
        <f>Flujo_Base!H3</f>
        <v/>
      </c>
      <c r="I3" s="4">
        <f>Flujo_Base!I3</f>
        <v/>
      </c>
      <c r="J3" s="4">
        <f>Flujo_Base!J3</f>
        <v/>
      </c>
      <c r="K3" s="4">
        <f>Flujo_Base!K3</f>
        <v/>
      </c>
      <c r="L3" s="4">
        <f>Flujo_Base!L3</f>
        <v/>
      </c>
      <c r="M3" s="4">
        <f>Flujo_Base!M3</f>
        <v/>
      </c>
      <c r="N3" s="4">
        <f>Flujo_Base!P3</f>
        <v/>
      </c>
      <c r="O3" s="4">
        <f>Optimizacion_Flujo!I3</f>
        <v/>
      </c>
      <c r="P3" s="4">
        <f>Optimizacion_Flujo!J3</f>
        <v/>
      </c>
    </row>
    <row r="4">
      <c r="A4" t="n">
        <v>2</v>
      </c>
      <c r="B4" s="4">
        <f>Flujo_Base!B4</f>
        <v/>
      </c>
      <c r="C4" s="4">
        <f>Flujo_Base!C4</f>
        <v/>
      </c>
      <c r="D4" s="4">
        <f>Flujo_Base!D4</f>
        <v/>
      </c>
      <c r="E4" s="4">
        <f>Flujo_Base!E4</f>
        <v/>
      </c>
      <c r="F4" s="4">
        <f>Flujo_Base!F4</f>
        <v/>
      </c>
      <c r="G4" s="4">
        <f>Flujo_Base!G4</f>
        <v/>
      </c>
      <c r="H4" s="4">
        <f>Flujo_Base!H4</f>
        <v/>
      </c>
      <c r="I4" s="4">
        <f>Flujo_Base!I4</f>
        <v/>
      </c>
      <c r="J4" s="4">
        <f>Flujo_Base!J4</f>
        <v/>
      </c>
      <c r="K4" s="4">
        <f>Flujo_Base!K4</f>
        <v/>
      </c>
      <c r="L4" s="4">
        <f>Flujo_Base!L4</f>
        <v/>
      </c>
      <c r="M4" s="4">
        <f>Flujo_Base!M4</f>
        <v/>
      </c>
      <c r="N4" s="4">
        <f>Flujo_Base!P4</f>
        <v/>
      </c>
      <c r="O4" s="4">
        <f>Optimizacion_Flujo!I4</f>
        <v/>
      </c>
      <c r="P4" s="4">
        <f>Optimizacion_Flujo!J4</f>
        <v/>
      </c>
    </row>
    <row r="5">
      <c r="A5" t="n">
        <v>3</v>
      </c>
      <c r="B5" s="4">
        <f>Flujo_Base!B5</f>
        <v/>
      </c>
      <c r="C5" s="4">
        <f>Flujo_Base!C5</f>
        <v/>
      </c>
      <c r="D5" s="4">
        <f>Flujo_Base!D5</f>
        <v/>
      </c>
      <c r="E5" s="4">
        <f>Flujo_Base!E5</f>
        <v/>
      </c>
      <c r="F5" s="4">
        <f>Flujo_Base!F5</f>
        <v/>
      </c>
      <c r="G5" s="4">
        <f>Flujo_Base!G5</f>
        <v/>
      </c>
      <c r="H5" s="4">
        <f>Flujo_Base!H5</f>
        <v/>
      </c>
      <c r="I5" s="4">
        <f>Flujo_Base!I5</f>
        <v/>
      </c>
      <c r="J5" s="4">
        <f>Flujo_Base!J5</f>
        <v/>
      </c>
      <c r="K5" s="4">
        <f>Flujo_Base!K5</f>
        <v/>
      </c>
      <c r="L5" s="4">
        <f>Flujo_Base!L5</f>
        <v/>
      </c>
      <c r="M5" s="4">
        <f>Flujo_Base!M5</f>
        <v/>
      </c>
      <c r="N5" s="4">
        <f>Flujo_Base!P5</f>
        <v/>
      </c>
      <c r="O5" s="4">
        <f>Optimizacion_Flujo!I5</f>
        <v/>
      </c>
      <c r="P5" s="4">
        <f>Optimizacion_Flujo!J5</f>
        <v/>
      </c>
    </row>
    <row r="6">
      <c r="A6" t="n">
        <v>4</v>
      </c>
      <c r="B6" s="4">
        <f>Flujo_Base!B6</f>
        <v/>
      </c>
      <c r="C6" s="4">
        <f>Flujo_Base!C6</f>
        <v/>
      </c>
      <c r="D6" s="4">
        <f>Flujo_Base!D6</f>
        <v/>
      </c>
      <c r="E6" s="4">
        <f>Flujo_Base!E6</f>
        <v/>
      </c>
      <c r="F6" s="4">
        <f>Flujo_Base!F6</f>
        <v/>
      </c>
      <c r="G6" s="4">
        <f>Flujo_Base!G6</f>
        <v/>
      </c>
      <c r="H6" s="4">
        <f>Flujo_Base!H6</f>
        <v/>
      </c>
      <c r="I6" s="4">
        <f>Flujo_Base!I6</f>
        <v/>
      </c>
      <c r="J6" s="4">
        <f>Flujo_Base!J6</f>
        <v/>
      </c>
      <c r="K6" s="4">
        <f>Flujo_Base!K6</f>
        <v/>
      </c>
      <c r="L6" s="4">
        <f>Flujo_Base!L6</f>
        <v/>
      </c>
      <c r="M6" s="4">
        <f>Flujo_Base!M6</f>
        <v/>
      </c>
      <c r="N6" s="4">
        <f>Flujo_Base!P6</f>
        <v/>
      </c>
      <c r="O6" s="4">
        <f>Optimizacion_Flujo!I6</f>
        <v/>
      </c>
      <c r="P6" s="4">
        <f>Optimizacion_Flujo!J6</f>
        <v/>
      </c>
    </row>
    <row r="7">
      <c r="A7" t="n">
        <v>5</v>
      </c>
      <c r="B7" s="4">
        <f>Flujo_Base!B7</f>
        <v/>
      </c>
      <c r="C7" s="4">
        <f>Flujo_Base!C7</f>
        <v/>
      </c>
      <c r="D7" s="4">
        <f>Flujo_Base!D7</f>
        <v/>
      </c>
      <c r="E7" s="4">
        <f>Flujo_Base!E7</f>
        <v/>
      </c>
      <c r="F7" s="4">
        <f>Flujo_Base!F7</f>
        <v/>
      </c>
      <c r="G7" s="4">
        <f>Flujo_Base!G7</f>
        <v/>
      </c>
      <c r="H7" s="4">
        <f>Flujo_Base!H7</f>
        <v/>
      </c>
      <c r="I7" s="4">
        <f>Flujo_Base!I7</f>
        <v/>
      </c>
      <c r="J7" s="4">
        <f>Flujo_Base!J7</f>
        <v/>
      </c>
      <c r="K7" s="4">
        <f>Flujo_Base!K7</f>
        <v/>
      </c>
      <c r="L7" s="4">
        <f>Flujo_Base!L7</f>
        <v/>
      </c>
      <c r="M7" s="4">
        <f>Flujo_Base!M7</f>
        <v/>
      </c>
      <c r="N7" s="4">
        <f>Flujo_Base!P7</f>
        <v/>
      </c>
      <c r="O7" s="4">
        <f>Optimizacion_Flujo!I7</f>
        <v/>
      </c>
      <c r="P7" s="4">
        <f>Optimizacion_Flujo!J7</f>
        <v/>
      </c>
    </row>
    <row r="8">
      <c r="A8" t="n">
        <v>6</v>
      </c>
      <c r="B8" s="4">
        <f>Flujo_Base!B8</f>
        <v/>
      </c>
      <c r="C8" s="4">
        <f>Flujo_Base!C8</f>
        <v/>
      </c>
      <c r="D8" s="4">
        <f>Flujo_Base!D8</f>
        <v/>
      </c>
      <c r="E8" s="4">
        <f>Flujo_Base!E8</f>
        <v/>
      </c>
      <c r="F8" s="4">
        <f>Flujo_Base!F8</f>
        <v/>
      </c>
      <c r="G8" s="4">
        <f>Flujo_Base!G8</f>
        <v/>
      </c>
      <c r="H8" s="4">
        <f>Flujo_Base!H8</f>
        <v/>
      </c>
      <c r="I8" s="4">
        <f>Flujo_Base!I8</f>
        <v/>
      </c>
      <c r="J8" s="4">
        <f>Flujo_Base!J8</f>
        <v/>
      </c>
      <c r="K8" s="4">
        <f>Flujo_Base!K8</f>
        <v/>
      </c>
      <c r="L8" s="4">
        <f>Flujo_Base!L8</f>
        <v/>
      </c>
      <c r="M8" s="4">
        <f>Flujo_Base!M8</f>
        <v/>
      </c>
      <c r="N8" s="4">
        <f>Flujo_Base!P8</f>
        <v/>
      </c>
      <c r="O8" s="4">
        <f>Optimizacion_Flujo!I8</f>
        <v/>
      </c>
      <c r="P8" s="4">
        <f>Optimizacion_Flujo!J8</f>
        <v/>
      </c>
    </row>
    <row r="9">
      <c r="A9" t="n">
        <v>7</v>
      </c>
      <c r="B9" s="4">
        <f>Flujo_Base!B9</f>
        <v/>
      </c>
      <c r="C9" s="4">
        <f>Flujo_Base!C9</f>
        <v/>
      </c>
      <c r="D9" s="4">
        <f>Flujo_Base!D9</f>
        <v/>
      </c>
      <c r="E9" s="4">
        <f>Flujo_Base!E9</f>
        <v/>
      </c>
      <c r="F9" s="4">
        <f>Flujo_Base!F9</f>
        <v/>
      </c>
      <c r="G9" s="4">
        <f>Flujo_Base!G9</f>
        <v/>
      </c>
      <c r="H9" s="4">
        <f>Flujo_Base!H9</f>
        <v/>
      </c>
      <c r="I9" s="4">
        <f>Flujo_Base!I9</f>
        <v/>
      </c>
      <c r="J9" s="4">
        <f>Flujo_Base!J9</f>
        <v/>
      </c>
      <c r="K9" s="4">
        <f>Flujo_Base!K9</f>
        <v/>
      </c>
      <c r="L9" s="4">
        <f>Flujo_Base!L9</f>
        <v/>
      </c>
      <c r="M9" s="4">
        <f>Flujo_Base!M9</f>
        <v/>
      </c>
      <c r="N9" s="4">
        <f>Flujo_Base!P9</f>
        <v/>
      </c>
      <c r="O9" s="4">
        <f>Optimizacion_Flujo!I9</f>
        <v/>
      </c>
      <c r="P9" s="4">
        <f>Optimizacion_Flujo!J9</f>
        <v/>
      </c>
    </row>
    <row r="10">
      <c r="A10" t="n">
        <v>8</v>
      </c>
      <c r="B10" s="4">
        <f>Flujo_Base!B10</f>
        <v/>
      </c>
      <c r="C10" s="4">
        <f>Flujo_Base!C10</f>
        <v/>
      </c>
      <c r="D10" s="4">
        <f>Flujo_Base!D10</f>
        <v/>
      </c>
      <c r="E10" s="4">
        <f>Flujo_Base!E10</f>
        <v/>
      </c>
      <c r="F10" s="4">
        <f>Flujo_Base!F10</f>
        <v/>
      </c>
      <c r="G10" s="4">
        <f>Flujo_Base!G10</f>
        <v/>
      </c>
      <c r="H10" s="4">
        <f>Flujo_Base!H10</f>
        <v/>
      </c>
      <c r="I10" s="4">
        <f>Flujo_Base!I10</f>
        <v/>
      </c>
      <c r="J10" s="4">
        <f>Flujo_Base!J10</f>
        <v/>
      </c>
      <c r="K10" s="4">
        <f>Flujo_Base!K10</f>
        <v/>
      </c>
      <c r="L10" s="4">
        <f>Flujo_Base!L10</f>
        <v/>
      </c>
      <c r="M10" s="4">
        <f>Flujo_Base!M10</f>
        <v/>
      </c>
      <c r="N10" s="4">
        <f>Flujo_Base!P10</f>
        <v/>
      </c>
      <c r="O10" s="4">
        <f>Optimizacion_Flujo!I10</f>
        <v/>
      </c>
      <c r="P10" s="4">
        <f>Optimizacion_Flujo!J10</f>
        <v/>
      </c>
    </row>
    <row r="11">
      <c r="A11" t="n">
        <v>9</v>
      </c>
      <c r="B11" s="4">
        <f>Flujo_Base!B11</f>
        <v/>
      </c>
      <c r="C11" s="4">
        <f>Flujo_Base!C11</f>
        <v/>
      </c>
      <c r="D11" s="4">
        <f>Flujo_Base!D11</f>
        <v/>
      </c>
      <c r="E11" s="4">
        <f>Flujo_Base!E11</f>
        <v/>
      </c>
      <c r="F11" s="4">
        <f>Flujo_Base!F11</f>
        <v/>
      </c>
      <c r="G11" s="4">
        <f>Flujo_Base!G11</f>
        <v/>
      </c>
      <c r="H11" s="4">
        <f>Flujo_Base!H11</f>
        <v/>
      </c>
      <c r="I11" s="4">
        <f>Flujo_Base!I11</f>
        <v/>
      </c>
      <c r="J11" s="4">
        <f>Flujo_Base!J11</f>
        <v/>
      </c>
      <c r="K11" s="4">
        <f>Flujo_Base!K11</f>
        <v/>
      </c>
      <c r="L11" s="4">
        <f>Flujo_Base!L11</f>
        <v/>
      </c>
      <c r="M11" s="4">
        <f>Flujo_Base!M11</f>
        <v/>
      </c>
      <c r="N11" s="4">
        <f>Flujo_Base!P11</f>
        <v/>
      </c>
      <c r="O11" s="4">
        <f>Optimizacion_Flujo!I11</f>
        <v/>
      </c>
      <c r="P11" s="4">
        <f>Optimizacion_Flujo!J11</f>
        <v/>
      </c>
    </row>
    <row r="12">
      <c r="A12" t="n">
        <v>10</v>
      </c>
      <c r="B12" s="4">
        <f>Flujo_Base!B12</f>
        <v/>
      </c>
      <c r="C12" s="4">
        <f>Flujo_Base!C12</f>
        <v/>
      </c>
      <c r="D12" s="4">
        <f>Flujo_Base!D12</f>
        <v/>
      </c>
      <c r="E12" s="4">
        <f>Flujo_Base!E12</f>
        <v/>
      </c>
      <c r="F12" s="4">
        <f>Flujo_Base!F12</f>
        <v/>
      </c>
      <c r="G12" s="4">
        <f>Flujo_Base!G12</f>
        <v/>
      </c>
      <c r="H12" s="4">
        <f>Flujo_Base!H12</f>
        <v/>
      </c>
      <c r="I12" s="4">
        <f>Flujo_Base!I12</f>
        <v/>
      </c>
      <c r="J12" s="4">
        <f>Flujo_Base!J12</f>
        <v/>
      </c>
      <c r="K12" s="4">
        <f>Flujo_Base!K12</f>
        <v/>
      </c>
      <c r="L12" s="4">
        <f>Flujo_Base!L12</f>
        <v/>
      </c>
      <c r="M12" s="4">
        <f>Flujo_Base!M12</f>
        <v/>
      </c>
      <c r="N12" s="4">
        <f>Flujo_Base!P12</f>
        <v/>
      </c>
      <c r="O12" s="4">
        <f>Optimizacion_Flujo!I12</f>
        <v/>
      </c>
      <c r="P12" s="4">
        <f>Optimizacion_Flujo!J12</f>
        <v/>
      </c>
    </row>
    <row r="13">
      <c r="A13" t="n">
        <v>11</v>
      </c>
      <c r="B13" s="4">
        <f>Flujo_Base!B13</f>
        <v/>
      </c>
      <c r="C13" s="4">
        <f>Flujo_Base!C13</f>
        <v/>
      </c>
      <c r="D13" s="4">
        <f>Flujo_Base!D13</f>
        <v/>
      </c>
      <c r="E13" s="4">
        <f>Flujo_Base!E13</f>
        <v/>
      </c>
      <c r="F13" s="4">
        <f>Flujo_Base!F13</f>
        <v/>
      </c>
      <c r="G13" s="4">
        <f>Flujo_Base!G13</f>
        <v/>
      </c>
      <c r="H13" s="4">
        <f>Flujo_Base!H13</f>
        <v/>
      </c>
      <c r="I13" s="4">
        <f>Flujo_Base!I13</f>
        <v/>
      </c>
      <c r="J13" s="4">
        <f>Flujo_Base!J13</f>
        <v/>
      </c>
      <c r="K13" s="4">
        <f>Flujo_Base!K13</f>
        <v/>
      </c>
      <c r="L13" s="4">
        <f>Flujo_Base!L13</f>
        <v/>
      </c>
      <c r="M13" s="4">
        <f>Flujo_Base!M13</f>
        <v/>
      </c>
      <c r="N13" s="4">
        <f>Flujo_Base!P13</f>
        <v/>
      </c>
      <c r="O13" s="4">
        <f>Optimizacion_Flujo!I13</f>
        <v/>
      </c>
      <c r="P13" s="4">
        <f>Optimizacion_Flujo!J13</f>
        <v/>
      </c>
    </row>
    <row r="14">
      <c r="A14" t="n">
        <v>12</v>
      </c>
      <c r="B14" s="4">
        <f>Flujo_Base!B14</f>
        <v/>
      </c>
      <c r="C14" s="4">
        <f>Flujo_Base!C14</f>
        <v/>
      </c>
      <c r="D14" s="4">
        <f>Flujo_Base!D14</f>
        <v/>
      </c>
      <c r="E14" s="4">
        <f>Flujo_Base!E14</f>
        <v/>
      </c>
      <c r="F14" s="4">
        <f>Flujo_Base!F14</f>
        <v/>
      </c>
      <c r="G14" s="4">
        <f>Flujo_Base!G14</f>
        <v/>
      </c>
      <c r="H14" s="4">
        <f>Flujo_Base!H14</f>
        <v/>
      </c>
      <c r="I14" s="4">
        <f>Flujo_Base!I14</f>
        <v/>
      </c>
      <c r="J14" s="4">
        <f>Flujo_Base!J14</f>
        <v/>
      </c>
      <c r="K14" s="4">
        <f>Flujo_Base!K14</f>
        <v/>
      </c>
      <c r="L14" s="4">
        <f>Flujo_Base!L14</f>
        <v/>
      </c>
      <c r="M14" s="4">
        <f>Flujo_Base!M14</f>
        <v/>
      </c>
      <c r="N14" s="4">
        <f>Flujo_Base!P14</f>
        <v/>
      </c>
      <c r="O14" s="4">
        <f>Optimizacion_Flujo!I14</f>
        <v/>
      </c>
      <c r="P14" s="4">
        <f>Optimizacion_Flujo!J14</f>
        <v/>
      </c>
    </row>
    <row r="15">
      <c r="A15" t="n">
        <v>13</v>
      </c>
      <c r="B15" s="4">
        <f>Flujo_Base!B15</f>
        <v/>
      </c>
      <c r="C15" s="4">
        <f>Flujo_Base!C15</f>
        <v/>
      </c>
      <c r="D15" s="4">
        <f>Flujo_Base!D15</f>
        <v/>
      </c>
      <c r="E15" s="4">
        <f>Flujo_Base!E15</f>
        <v/>
      </c>
      <c r="F15" s="4">
        <f>Flujo_Base!F15</f>
        <v/>
      </c>
      <c r="G15" s="4">
        <f>Flujo_Base!G15</f>
        <v/>
      </c>
      <c r="H15" s="4">
        <f>Flujo_Base!H15</f>
        <v/>
      </c>
      <c r="I15" s="4">
        <f>Flujo_Base!I15</f>
        <v/>
      </c>
      <c r="J15" s="4">
        <f>Flujo_Base!J15</f>
        <v/>
      </c>
      <c r="K15" s="4">
        <f>Flujo_Base!K15</f>
        <v/>
      </c>
      <c r="L15" s="4">
        <f>Flujo_Base!L15</f>
        <v/>
      </c>
      <c r="M15" s="4">
        <f>Flujo_Base!M15</f>
        <v/>
      </c>
      <c r="N15" s="4">
        <f>Flujo_Base!P15</f>
        <v/>
      </c>
      <c r="O15" s="4">
        <f>Optimizacion_Flujo!I15</f>
        <v/>
      </c>
      <c r="P15" s="4">
        <f>Optimizacion_Flujo!J15</f>
        <v/>
      </c>
    </row>
    <row r="16">
      <c r="A16" t="n">
        <v>14</v>
      </c>
      <c r="B16" s="4">
        <f>Flujo_Base!B16</f>
        <v/>
      </c>
      <c r="C16" s="4">
        <f>Flujo_Base!C16</f>
        <v/>
      </c>
      <c r="D16" s="4">
        <f>Flujo_Base!D16</f>
        <v/>
      </c>
      <c r="E16" s="4">
        <f>Flujo_Base!E16</f>
        <v/>
      </c>
      <c r="F16" s="4">
        <f>Flujo_Base!F16</f>
        <v/>
      </c>
      <c r="G16" s="4">
        <f>Flujo_Base!G16</f>
        <v/>
      </c>
      <c r="H16" s="4">
        <f>Flujo_Base!H16</f>
        <v/>
      </c>
      <c r="I16" s="4">
        <f>Flujo_Base!I16</f>
        <v/>
      </c>
      <c r="J16" s="4">
        <f>Flujo_Base!J16</f>
        <v/>
      </c>
      <c r="K16" s="4">
        <f>Flujo_Base!K16</f>
        <v/>
      </c>
      <c r="L16" s="4">
        <f>Flujo_Base!L16</f>
        <v/>
      </c>
      <c r="M16" s="4">
        <f>Flujo_Base!M16</f>
        <v/>
      </c>
      <c r="N16" s="4">
        <f>Flujo_Base!P16</f>
        <v/>
      </c>
      <c r="O16" s="4">
        <f>Optimizacion_Flujo!I16</f>
        <v/>
      </c>
      <c r="P16" s="4">
        <f>Optimizacion_Flujo!J16</f>
        <v/>
      </c>
    </row>
    <row r="17">
      <c r="A17" t="n">
        <v>15</v>
      </c>
      <c r="B17" s="4">
        <f>Flujo_Base!B17</f>
        <v/>
      </c>
      <c r="C17" s="4">
        <f>Flujo_Base!C17</f>
        <v/>
      </c>
      <c r="D17" s="4">
        <f>Flujo_Base!D17</f>
        <v/>
      </c>
      <c r="E17" s="4">
        <f>Flujo_Base!E17</f>
        <v/>
      </c>
      <c r="F17" s="4">
        <f>Flujo_Base!F17</f>
        <v/>
      </c>
      <c r="G17" s="4">
        <f>Flujo_Base!G17</f>
        <v/>
      </c>
      <c r="H17" s="4">
        <f>Flujo_Base!H17</f>
        <v/>
      </c>
      <c r="I17" s="4">
        <f>Flujo_Base!I17</f>
        <v/>
      </c>
      <c r="J17" s="4">
        <f>Flujo_Base!J17</f>
        <v/>
      </c>
      <c r="K17" s="4">
        <f>Flujo_Base!K17</f>
        <v/>
      </c>
      <c r="L17" s="4">
        <f>Flujo_Base!L17</f>
        <v/>
      </c>
      <c r="M17" s="4">
        <f>Flujo_Base!M17</f>
        <v/>
      </c>
      <c r="N17" s="4">
        <f>Flujo_Base!P17</f>
        <v/>
      </c>
      <c r="O17" s="4">
        <f>Optimizacion_Flujo!I17</f>
        <v/>
      </c>
      <c r="P17" s="4">
        <f>Optimizacion_Flujo!J17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  <col width="34" customWidth="1" min="3" max="3"/>
  </cols>
  <sheetData>
    <row r="1">
      <c r="A1" s="1" t="inlineStr">
        <is>
          <t>Parámetros de seguridad y flashback – Hidrógeno (H₂)</t>
        </is>
      </c>
    </row>
    <row r="3">
      <c r="A3" t="inlineStr">
        <is>
          <t>Velocidad laminar de combustión (Su)</t>
        </is>
      </c>
      <c r="B3" t="n">
        <v>2.86</v>
      </c>
      <c r="C3" t="inlineStr">
        <is>
          <t>m/s (≈286 cm/s)</t>
        </is>
      </c>
    </row>
    <row r="5">
      <c r="A5" s="1" t="inlineStr">
        <is>
          <t>Normas recomendadas</t>
        </is>
      </c>
    </row>
    <row r="6">
      <c r="A6" t="inlineStr">
        <is>
          <t>ISO 5175-1</t>
        </is>
      </c>
      <c r="B6" t="inlineStr">
        <is>
          <t>Arrestadores de retroceso (estaciones/puntos de uso)</t>
        </is>
      </c>
    </row>
    <row r="7">
      <c r="A7" t="inlineStr">
        <is>
          <t>ISO 16852</t>
        </is>
      </c>
      <c r="B7" t="inlineStr">
        <is>
          <t>Apagallamas en líneas/venteos (deflagración/detonación)</t>
        </is>
      </c>
    </row>
    <row r="8">
      <c r="A8" t="inlineStr">
        <is>
          <t>NFPA 2 / CGA G-5.5</t>
        </is>
      </c>
      <c r="B8" t="inlineStr">
        <is>
          <t>Distancias/criterios de seguridad y venteo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Cómo usar la plantilla v4.1a</t>
        </is>
      </c>
    </row>
    <row r="3">
      <c r="A3" t="inlineStr">
        <is>
          <t>1) Elige escenario en Escenarios_v4 (Optimista/Base/Conservador).</t>
        </is>
      </c>
    </row>
    <row r="4">
      <c r="A4" t="inlineStr">
        <is>
          <t>2) Parametros toma automáticamente los valores iniciales × multiplicadores del escenario.</t>
        </is>
      </c>
    </row>
    <row r="5">
      <c r="A5" t="inlineStr">
        <is>
          <t>3) Flujo_Base y Optimizacion_Flujo se recalculan por fórmula; no edites manualmente celdas calculadas.</t>
        </is>
      </c>
    </row>
    <row r="6">
      <c r="A6" t="inlineStr">
        <is>
          <t>4) KPIs_Escenarios compara VAN/TIR/Payback/PI de los 3 escenarios en paralelo (con payback robusto).</t>
        </is>
      </c>
    </row>
    <row r="7">
      <c r="A7" t="inlineStr">
        <is>
          <t>5) Resumen_Anual lista por año ingresos, OPEX por componente, flujo neto, VAN, liquidez y deuda.</t>
        </is>
      </c>
    </row>
    <row r="8">
      <c r="A8" t="inlineStr">
        <is>
          <t>6) Seguridad_H2 contiene el dato de flashback (Su=2.86 m/s) y normas de referencia (ISO/NFPA/CGA).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2025-11-06T01:43:10Z</dcterms:created>
  <dcterms:modified xsi:type="dcterms:W3CDTF">2025-11-06T01:43:10Z</dcterms:modified>
</cp:coreProperties>
</file>